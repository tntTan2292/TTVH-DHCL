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1063f552f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ế" sheetId="1" r:id="Re3b7686d3c764a0c"/>
    <x:sheet xmlns:r="http://schemas.openxmlformats.org/officeDocument/2006/relationships" name="TMS- NODE" sheetId="2" r:id="R6d351829fb374412"/>
    <x:sheet xmlns:r="http://schemas.openxmlformats.org/officeDocument/2006/relationships" name="Dữ liệu bản đồ" sheetId="3" r:id="R8633b79ff8a1487c"/>
  </x:sheets>
</x:workbook>
</file>

<file path=xl/sharedStrings.xml><?xml version="1.0" encoding="utf-8"?>
<x:sst xmlns:x="http://schemas.openxmlformats.org/spreadsheetml/2006/main">
  <x:si>
    <x:t xml:space="preserve">BÁO CÁO DANH SÁCH MẠNG ĐIỂM PHỤC VỤ</x:t>
  </x:si>
  <x:si>
    <x:t xml:space="preserve">[PRV – Mã địa bàn/Tỉnh, TP (3 ký tự)] +Mã Loại điểm phục vụ(1 ký tự)+ [Biến tự sinh hê 36 (3 ký tự) công thức (X × 36²) + (Y × 36) + Z + 1)]</x:t>
  </x:si>
  <x:si>
    <x:t xml:space="preserve">HRM</x:t>
  </x:si>
  <x:si>
    <x:t xml:space="preserve">Mã VLP</x:t>
  </x:si>
  <x:si>
    <x:t xml:space="preserve">Mã ĐPV</x:t>
  </x:si>
  <x:si>
    <x:t xml:space="preserve">Mã tỉnh</x:t>
  </x:si>
  <x:si>
    <x:t xml:space="preserve">Tên tỉnh/thành phố</x:t>
  </x:si>
  <x:si>
    <x:t xml:space="preserve">Mã BĐT/TP/BĐTT</x:t>
  </x:si>
  <x:si>
    <x:t xml:space="preserve">Tên BĐT/TP/BĐTT</x:t>
  </x:si>
  <x:si>
    <x:t xml:space="preserve">ĐƠN VỊ QUẢN LÝ</x:t>
  </x:si>
  <x:si>
    <x:t xml:space="preserve">Tên ĐPV</x:t>
  </x:si>
  <x:si>
    <x:t xml:space="preserve">Mã địa chỉ P/X</x:t>
  </x:si>
  <x:si>
    <x:t xml:space="preserve">Tên địa chỉ P/X</x:t>
  </x:si>
  <x:si>
    <x:t xml:space="preserve">Loại</x:t>
  </x:si>
  <x:si>
    <x:t xml:space="preserve">Địa chỉ chi tiết</x:t>
  </x:si>
  <x:si>
    <x:t xml:space="preserve">Trạng thái</x:t>
  </x:si>
  <x:si>
    <x:t xml:space="preserve">Số điện thoại</x:t>
  </x:si>
  <x:si>
    <x:t xml:space="preserve">Ghi chú</x:t>
  </x:si>
  <x:si>
    <x:t xml:space="preserve">Tên Tỉnh mới</x:t>
  </x:si>
  <x:si>
    <x:t xml:space="preserve">ma_PRV</x:t>
  </x:si>
  <x:si>
    <x:t xml:space="preserve">Ma_Loai</x:t>
  </x:si>
  <x:si>
    <x:t xml:space="preserve">lon lat
Tọa độ (Kinh độ - Vĩ độ)</x:t>
  </x:si>
  <x:si>
    <x:t xml:space="preserve">BCQG</x:t>
  </x:si>
  <x:si>
    <x:t xml:space="preserve">MBC</x:t>
  </x:si>
  <x:si>
    <x:t xml:space="preserve">Mã đơn vị
quản lý</x:t>
  </x:si>
  <x:si>
    <x:t xml:space="preserve">Tên đơn vị quản lý</x:t>
  </x:si>
  <x:si>
    <x:t xml:space="preserve">HUEP000</x:t>
  </x:si>
  <x:si>
    <x:t xml:space="preserve">534989</x:t>
  </x:si>
  <x:si>
    <x:t xml:space="preserve">49</x:t>
  </x:si>
  <x:si>
    <x:t xml:space="preserve">53</x:t>
  </x:si>
  <x:si>
    <x:t xml:space="preserve">TP. Huế</x:t>
  </x:si>
  <x:si>
    <x:t xml:space="preserve">BĐTP Huế</x:t>
  </x:si>
  <x:si>
    <x:t xml:space="preserve">5315</x:t>
  </x:si>
  <x:si>
    <x:t xml:space="preserve">Bưu điện phường Phong Điền</x:t>
  </x:si>
  <x:si>
    <x:t xml:space="preserve">Điền Hải</x:t>
  </x:si>
  <x:si>
    <x:t xml:space="preserve">49324</x:t>
  </x:si>
  <x:si>
    <x:t xml:space="preserve">53444</x:t>
  </x:si>
  <x:si>
    <x:t xml:space="preserve">Phường Phong Quảng</x:t>
  </x:si>
  <x:si>
    <x:t xml:space="preserve">Pudo</x:t>
  </x:si>
  <x:si>
    <x:t xml:space="preserve">Thôn 2</x:t>
  </x:si>
  <x:si>
    <x:t xml:space="preserve">Tạm dừng</x:t>
  </x:si>
  <x:si>
    <x:t xml:space="preserve">HUE</x:t>
  </x:si>
  <x:si>
    <x:t xml:space="preserve">P</x:t>
  </x:si>
  <x:si>
    <x:t xml:space="preserve">HUEP001</x:t>
  </x:si>
  <x:si>
    <x:t xml:space="preserve">536326</x:t>
  </x:si>
  <x:si>
    <x:t xml:space="preserve">5314</x:t>
  </x:si>
  <x:si>
    <x:t xml:space="preserve">Bưu điện phường Phú Bài</x:t>
  </x:si>
  <x:si>
    <x:t xml:space="preserve">Sân bay Phú Bài</x:t>
  </x:si>
  <x:si>
    <x:t xml:space="preserve">49612</x:t>
  </x:si>
  <x:si>
    <x:t xml:space="preserve">53610</x:t>
  </x:si>
  <x:si>
    <x:t xml:space="preserve">Phường Phú Bài</x:t>
  </x:si>
  <x:si>
    <x:t xml:space="preserve">Đường Nguyễn Tất Thành</x:t>
  </x:si>
  <x:si>
    <x:t xml:space="preserve">HUEP002</x:t>
  </x:si>
  <x:si>
    <x:t xml:space="preserve">536800</x:t>
  </x:si>
  <x:si>
    <x:t xml:space="preserve">5304</x:t>
  </x:si>
  <x:si>
    <x:t xml:space="preserve">Bưu điện phường Thuận Hóa</x:t>
  </x:si>
  <x:si>
    <x:t xml:space="preserve">Chợ Mai</x:t>
  </x:si>
  <x:si>
    <x:t xml:space="preserve">49927</x:t>
  </x:si>
  <x:si>
    <x:t xml:space="preserve">53438</x:t>
  </x:si>
  <x:si>
    <x:t xml:space="preserve">Phường Mỹ Thượng</x:t>
  </x:si>
  <x:si>
    <x:t xml:space="preserve">Thôn Nam Thượng</x:t>
  </x:si>
  <x:si>
    <x:t xml:space="preserve">3860515</x:t>
  </x:si>
  <x:si>
    <x:t xml:space="preserve">HUEP003</x:t>
  </x:si>
  <x:si>
    <x:t xml:space="preserve">536951</x:t>
  </x:si>
  <x:si>
    <x:t xml:space="preserve">5324</x:t>
  </x:si>
  <x:si>
    <x:t xml:space="preserve">Bưu điện xã Phú Vang</x:t>
  </x:si>
  <x:si>
    <x:t xml:space="preserve">Lộc Sơn</x:t>
  </x:si>
  <x:si>
    <x:t xml:space="preserve">49925</x:t>
  </x:si>
  <x:si>
    <x:t xml:space="preserve">53683</x:t>
  </x:si>
  <x:si>
    <x:t xml:space="preserve">Xã Phú Hồ</x:t>
  </x:si>
  <x:si>
    <x:t xml:space="preserve">Thôn Lộc Sơn</x:t>
  </x:si>
  <x:si>
    <x:t xml:space="preserve">HUEP004</x:t>
  </x:si>
  <x:si>
    <x:t xml:space="preserve">531421</x:t>
  </x:si>
  <x:si>
    <x:t xml:space="preserve">Bà Triệu</x:t>
  </x:si>
  <x:si>
    <x:t xml:space="preserve">49107</x:t>
  </x:si>
  <x:si>
    <x:t xml:space="preserve">53151</x:t>
  </x:si>
  <x:si>
    <x:t xml:space="preserve">Phường Vỹ Dạ</x:t>
  </x:si>
  <x:si>
    <x:t xml:space="preserve">75 Đường Bà Triệu</x:t>
  </x:si>
  <x:si>
    <x:t xml:space="preserve">02343821589</x:t>
  </x:si>
  <x:si>
    <x:t xml:space="preserve">HUEP005</x:t>
  </x:si>
  <x:si>
    <x:t xml:space="preserve">531511</x:t>
  </x:si>
  <x:si>
    <x:t xml:space="preserve">5310</x:t>
  </x:si>
  <x:si>
    <x:t xml:space="preserve">BCVH Huế</x:t>
  </x:si>
  <x:si>
    <x:t xml:space="preserve">Nguyễn Sinh Cung</x:t>
  </x:si>
  <x:si>
    <x:t xml:space="preserve">Sô´116,   Đường Nguyễn Sinh Cung, Phường Vĩ Dạ</x:t>
  </x:si>
  <x:si>
    <x:t xml:space="preserve">HUEP006</x:t>
  </x:si>
  <x:si>
    <x:t xml:space="preserve">531572</x:t>
  </x:si>
  <x:si>
    <x:t xml:space="preserve">Chợ Vĩ Dạ</x:t>
  </x:si>
  <x:si>
    <x:t xml:space="preserve">Sô´206,   Đường Nguyễn Sinh Cung, Phường Vĩ Dạ</x:t>
  </x:si>
  <x:si>
    <x:t xml:space="preserve">HUEP007</x:t>
  </x:si>
  <x:si>
    <x:t xml:space="preserve">532270</x:t>
  </x:si>
  <x:si>
    <x:t xml:space="preserve">Chợ Đồn</x:t>
  </x:si>
  <x:si>
    <x:t xml:space="preserve">49133</x:t>
  </x:si>
  <x:si>
    <x:t xml:space="preserve">53448</x:t>
  </x:si>
  <x:si>
    <x:t xml:space="preserve">Phường Phú Xuân</x:t>
  </x:si>
  <x:si>
    <x:t xml:space="preserve">195 Đường Đào Duy Anh</x:t>
  </x:si>
  <x:si>
    <x:t xml:space="preserve">5246540</x:t>
  </x:si>
  <x:si>
    <x:t xml:space="preserve">HUEP008</x:t>
  </x:si>
  <x:si>
    <x:t xml:space="preserve">537170</x:t>
  </x:si>
  <x:si>
    <x:t xml:space="preserve">5328</x:t>
  </x:si>
  <x:si>
    <x:t xml:space="preserve">Bưu điện xã Phú Lộc</x:t>
  </x:si>
  <x:si>
    <x:t xml:space="preserve">Vinh Giang (TD)</x:t>
  </x:si>
  <x:si>
    <x:t xml:space="preserve">49824</x:t>
  </x:si>
  <x:si>
    <x:t xml:space="preserve">53762</x:t>
  </x:si>
  <x:si>
    <x:t xml:space="preserve">Xã Vinh Lộc</x:t>
  </x:si>
  <x:si>
    <x:t xml:space="preserve">Thôn Nghi Giang</x:t>
  </x:si>
  <x:si>
    <x:t xml:space="preserve">02343874110</x:t>
  </x:si>
  <x:si>
    <x:t xml:space="preserve">HUEG000</x:t>
  </x:si>
  <x:si>
    <x:t xml:space="preserve">530000</x:t>
  </x:si>
  <x:si>
    <x:t xml:space="preserve">Huế</x:t>
  </x:si>
  <x:si>
    <x:t xml:space="preserve">49135</x:t>
  </x:si>
  <x:si>
    <x:t xml:space="preserve">53452</x:t>
  </x:si>
  <x:si>
    <x:t xml:space="preserve">Phường Thuận Hóa</x:t>
  </x:si>
  <x:si>
    <x:t xml:space="preserve">Giao dịch</x:t>
  </x:si>
  <x:si>
    <x:t xml:space="preserve">8 Đường Hoàng Hoa Thám</x:t>
  </x:si>
  <x:si>
    <x:t xml:space="preserve">Hoạt động</x:t>
  </x:si>
  <x:si>
    <x:t xml:space="preserve">02343823496</x:t>
  </x:si>
  <x:si>
    <x:t xml:space="preserve">G</x:t>
  </x:si>
  <x:si>
    <x:t xml:space="preserve">HUEG001</x:t>
  </x:si>
  <x:si>
    <x:t xml:space="preserve">534600</x:t>
  </x:si>
  <x:si>
    <x:t xml:space="preserve">5321</x:t>
  </x:si>
  <x:si>
    <x:t xml:space="preserve">Bưu điện xã Quảng Điền</x:t>
  </x:si>
  <x:si>
    <x:t xml:space="preserve">Quảng Điền</x:t>
  </x:si>
  <x:si>
    <x:t xml:space="preserve">49217</x:t>
  </x:si>
  <x:si>
    <x:t xml:space="preserve">53760</x:t>
  </x:si>
  <x:si>
    <x:t xml:space="preserve">Xã Quảng Điền</x:t>
  </x:si>
  <x:si>
    <x:t xml:space="preserve">45 Đường Nguyễn Kim Thành</x:t>
  </x:si>
  <x:si>
    <x:t xml:space="preserve">03554231</x:t>
  </x:si>
  <x:si>
    <x:t xml:space="preserve">HUEG002</x:t>
  </x:si>
  <x:si>
    <x:t xml:space="preserve">534900</x:t>
  </x:si>
  <x:si>
    <x:t xml:space="preserve">Phong Điền</x:t>
  </x:si>
  <x:si>
    <x:t xml:space="preserve">49322</x:t>
  </x:si>
  <x:si>
    <x:t xml:space="preserve">53440</x:t>
  </x:si>
  <x:si>
    <x:t xml:space="preserve">Phường Phong Điền</x:t>
  </x:si>
  <x:si>
    <x:t xml:space="preserve">Thôn Trạch Thượng 1</x:t>
  </x:si>
  <x:si>
    <x:t xml:space="preserve">02343551210</x:t>
  </x:si>
  <x:si>
    <x:t xml:space="preserve">HUEG003</x:t>
  </x:si>
  <x:si>
    <x:t xml:space="preserve">535300</x:t>
  </x:si>
  <x:si>
    <x:t xml:space="preserve">5341</x:t>
  </x:si>
  <x:si>
    <x:t xml:space="preserve">Bưu điện phường Hương Trà</x:t>
  </x:si>
  <x:si>
    <x:t xml:space="preserve">Hương Trà</x:t>
  </x:si>
  <x:si>
    <x:t xml:space="preserve">49422</x:t>
  </x:si>
  <x:si>
    <x:t xml:space="preserve">53434</x:t>
  </x:si>
  <x:si>
    <x:t xml:space="preserve">Phường Hương Trà</x:t>
  </x:si>
  <x:si>
    <x:t xml:space="preserve">105 Đường Cách Mạng Tháng Tám</x:t>
  </x:si>
  <x:si>
    <x:t xml:space="preserve">035586720</x:t>
  </x:si>
  <x:si>
    <x:t xml:space="preserve">HUEG004</x:t>
  </x:si>
  <x:si>
    <x:t xml:space="preserve">535700</x:t>
  </x:si>
  <x:si>
    <x:t xml:space="preserve">5335</x:t>
  </x:si>
  <x:si>
    <x:t xml:space="preserve">Bưu điện xã A Lưới 2</x:t>
  </x:si>
  <x:si>
    <x:t xml:space="preserve">A Lưới</x:t>
  </x:si>
  <x:si>
    <x:t xml:space="preserve">49528</x:t>
  </x:si>
  <x:si>
    <x:t xml:space="preserve">53766</x:t>
  </x:si>
  <x:si>
    <x:t xml:space="preserve">Xã A Lưới 2</x:t>
  </x:si>
  <x:si>
    <x:t xml:space="preserve">184 Đường Hồ Chí Minh</x:t>
  </x:si>
  <x:si>
    <x:t xml:space="preserve">02343878216</x:t>
  </x:si>
  <x:si>
    <x:t xml:space="preserve">HUEG005</x:t>
  </x:si>
  <x:si>
    <x:t xml:space="preserve">536100</x:t>
  </x:si>
  <x:si>
    <x:t xml:space="preserve">Hương Thủy</x:t>
  </x:si>
  <x:si>
    <x:t xml:space="preserve">1028 Đường Nguyễn Tất Thành</x:t>
  </x:si>
  <x:si>
    <x:t xml:space="preserve">0234.386121</x:t>
  </x:si>
  <x:si>
    <x:t xml:space="preserve">HUEG006</x:t>
  </x:si>
  <x:si>
    <x:t xml:space="preserve">536400</x:t>
  </x:si>
  <x:si>
    <x:t xml:space="preserve">5332</x:t>
  </x:si>
  <x:si>
    <x:t xml:space="preserve">Bưu điện xã Khe Tre</x:t>
  </x:si>
  <x:si>
    <x:t xml:space="preserve">Nam Đông</x:t>
  </x:si>
  <x:si>
    <x:t xml:space="preserve">49706</x:t>
  </x:si>
  <x:si>
    <x:t xml:space="preserve">53640</x:t>
  </x:si>
  <x:si>
    <x:t xml:space="preserve">Xã Khe Tre</x:t>
  </x:si>
  <x:si>
    <x:t xml:space="preserve">Khu Vực Ii</x:t>
  </x:si>
  <x:si>
    <x:t xml:space="preserve">02343875145</x:t>
  </x:si>
  <x:si>
    <x:t xml:space="preserve">HUEG007</x:t>
  </x:si>
  <x:si>
    <x:t xml:space="preserve">536700</x:t>
  </x:si>
  <x:si>
    <x:t xml:space="preserve">Phú Vang</x:t>
  </x:si>
  <x:si>
    <x:t xml:space="preserve">49929</x:t>
  </x:si>
  <x:si>
    <x:t xml:space="preserve">53756</x:t>
  </x:si>
  <x:si>
    <x:t xml:space="preserve">Xã Phú Vang</x:t>
  </x:si>
  <x:si>
    <x:t xml:space="preserve">Thôn Hòa Tây</x:t>
  </x:si>
  <x:si>
    <x:t xml:space="preserve">0234.3868432</x:t>
  </x:si>
  <x:si>
    <x:t xml:space="preserve">HUEG008</x:t>
  </x:si>
  <x:si>
    <x:t xml:space="preserve">537100</x:t>
  </x:si>
  <x:si>
    <x:t xml:space="preserve">Phú Lộc</x:t>
  </x:si>
  <x:si>
    <x:t xml:space="preserve">49806</x:t>
  </x:si>
  <x:si>
    <x:t xml:space="preserve">53710</x:t>
  </x:si>
  <x:si>
    <x:t xml:space="preserve">Xã Phú Lộc</x:t>
  </x:si>
  <x:si>
    <x:t xml:space="preserve">118 Đường Lý Thánh Tông</x:t>
  </x:si>
  <x:si>
    <x:t xml:space="preserve">02343871219</x:t>
  </x:si>
  <x:si>
    <x:t xml:space="preserve">HUEG009</x:t>
  </x:si>
  <x:si>
    <x:t xml:space="preserve">531110</x:t>
  </x:si>
  <x:si>
    <x:t xml:space="preserve">Trung tâm Hành chính công</x:t>
  </x:si>
  <x:si>
    <x:t xml:space="preserve">1 Đường Lê Lai</x:t>
  </x:si>
  <x:si>
    <x:t xml:space="preserve">02343686804</x:t>
  </x:si>
  <x:si>
    <x:t xml:space="preserve">HUEG00A</x:t>
  </x:si>
  <x:si>
    <x:t xml:space="preserve">531120</x:t>
  </x:si>
  <x:si>
    <x:t xml:space="preserve">5375</x:t>
  </x:si>
  <x:si>
    <x:t xml:space="preserve">BCVH Thuận Hóa</x:t>
  </x:si>
  <x:si>
    <x:t xml:space="preserve">Khách hàng lớn</x:t>
  </x:si>
  <x:si>
    <x:t xml:space="preserve">08 Đường Hoàng Hoa Thám</x:t>
  </x:si>
  <x:si>
    <x:t xml:space="preserve">02343837474</x:t>
  </x:si>
  <x:si>
    <x:t xml:space="preserve">HUEG00B</x:t>
  </x:si>
  <x:si>
    <x:t xml:space="preserve">531600</x:t>
  </x:si>
  <x:si>
    <x:t xml:space="preserve">5340</x:t>
  </x:si>
  <x:si>
    <x:t xml:space="preserve">Bưu điện phường Phú Xuân</x:t>
  </x:si>
  <x:si>
    <x:t xml:space="preserve">Trần Hưng Đạo</x:t>
  </x:si>
  <x:si>
    <x:t xml:space="preserve">91 Đường Trần Hưng Đạo</x:t>
  </x:si>
  <x:si>
    <x:t xml:space="preserve">02343512997</x:t>
  </x:si>
  <x:si>
    <x:t xml:space="preserve">HUEG00C</x:t>
  </x:si>
  <x:si>
    <x:t xml:space="preserve">531950</x:t>
  </x:si>
  <x:si>
    <x:t xml:space="preserve">Huế Thành</x:t>
  </x:si>
  <x:si>
    <x:t xml:space="preserve">25 Đường Mai Thúc Loan</x:t>
  </x:si>
  <x:si>
    <x:t xml:space="preserve">02343523473</x:t>
  </x:si>
  <x:si>
    <x:t xml:space="preserve">HUEG00D</x:t>
  </x:si>
  <x:si>
    <x:t xml:space="preserve">532350</x:t>
  </x:si>
  <x:si>
    <x:t xml:space="preserve">Tây Lộc</x:t>
  </x:si>
  <x:si>
    <x:t xml:space="preserve">136 Đường Hoàng Diệu</x:t>
  </x:si>
  <x:si>
    <x:t xml:space="preserve">02343523113</x:t>
  </x:si>
  <x:si>
    <x:t xml:space="preserve">HUEG00E</x:t>
  </x:si>
  <x:si>
    <x:t xml:space="preserve">532760</x:t>
  </x:si>
  <x:si>
    <x:t xml:space="preserve">5307</x:t>
  </x:si>
  <x:si>
    <x:t xml:space="preserve">Bưu điện phường Kim Long</x:t>
  </x:si>
  <x:si>
    <x:t xml:space="preserve">Kim Long</x:t>
  </x:si>
  <x:si>
    <x:t xml:space="preserve">49122</x:t>
  </x:si>
  <x:si>
    <x:t xml:space="preserve">53276</x:t>
  </x:si>
  <x:si>
    <x:t xml:space="preserve">Phường Kim Long</x:t>
  </x:si>
  <x:si>
    <x:t xml:space="preserve">118 Đường Kim Long</x:t>
  </x:si>
  <x:si>
    <x:t xml:space="preserve">02343523112</x:t>
  </x:si>
  <x:si>
    <x:t xml:space="preserve">HUEG00F</x:t>
  </x:si>
  <x:si>
    <x:t xml:space="preserve">532950</x:t>
  </x:si>
  <x:si>
    <x:t xml:space="preserve">5308</x:t>
  </x:si>
  <x:si>
    <x:t xml:space="preserve">Bưu điện phường Hương An</x:t>
  </x:si>
  <x:si>
    <x:t xml:space="preserve">An Hoà</x:t>
  </x:si>
  <x:si>
    <x:t xml:space="preserve">49136</x:t>
  </x:si>
  <x:si>
    <x:t xml:space="preserve">53553</x:t>
  </x:si>
  <x:si>
    <x:t xml:space="preserve">Phường Hương An</x:t>
  </x:si>
  <x:si>
    <x:t xml:space="preserve">396 Đường Lê Duẩn</x:t>
  </x:si>
  <x:si>
    <x:t xml:space="preserve">02343524617</x:t>
  </x:si>
  <x:si>
    <x:t xml:space="preserve">HUEG00G</x:t>
  </x:si>
  <x:si>
    <x:t xml:space="preserve">534640</x:t>
  </x:si>
  <x:si>
    <x:t xml:space="preserve">5319</x:t>
  </x:si>
  <x:si>
    <x:t xml:space="preserve">Bưu điện phường Phong Quảng</x:t>
  </x:si>
  <x:si>
    <x:t xml:space="preserve">Quảng Công</x:t>
  </x:si>
  <x:si>
    <x:t xml:space="preserve">Thôn 3</x:t>
  </x:si>
  <x:si>
    <x:t xml:space="preserve">02343554636</x:t>
  </x:si>
  <x:si>
    <x:t xml:space="preserve">HUEG00H</x:t>
  </x:si>
  <x:si>
    <x:t xml:space="preserve">534960</x:t>
  </x:si>
  <x:si>
    <x:t xml:space="preserve">5318</x:t>
  </x:si>
  <x:si>
    <x:t xml:space="preserve">Bưu điện phường Phong Phú</x:t>
  </x:si>
  <x:si>
    <x:t xml:space="preserve">Điền Hòa</x:t>
  </x:si>
  <x:si>
    <x:t xml:space="preserve">49309</x:t>
  </x:si>
  <x:si>
    <x:t xml:space="preserve">53495</x:t>
  </x:si>
  <x:si>
    <x:t xml:space="preserve">Phường Phong Phú</x:t>
  </x:si>
  <x:si>
    <x:t xml:space="preserve">Thôn 5</x:t>
  </x:si>
  <x:si>
    <x:t xml:space="preserve">02343553364</x:t>
  </x:si>
  <x:si>
    <x:t xml:space="preserve">HUEG00I</x:t>
  </x:si>
  <x:si>
    <x:t xml:space="preserve">535120</x:t>
  </x:si>
  <x:si>
    <x:t xml:space="preserve">Phong Xuân</x:t>
  </x:si>
  <x:si>
    <x:t xml:space="preserve">Thôn Bình An</x:t>
  </x:si>
  <x:si>
    <x:t xml:space="preserve">02343553165</x:t>
  </x:si>
  <x:si>
    <x:t xml:space="preserve">HUEG00J</x:t>
  </x:si>
  <x:si>
    <x:t xml:space="preserve">535140</x:t>
  </x:si>
  <x:si>
    <x:t xml:space="preserve">5316</x:t>
  </x:si>
  <x:si>
    <x:t xml:space="preserve">Bưu điện phường Phong Thái</x:t>
  </x:si>
  <x:si>
    <x:t xml:space="preserve">An Lỗ</x:t>
  </x:si>
  <x:si>
    <x:t xml:space="preserve">49323</x:t>
  </x:si>
  <x:si>
    <x:t xml:space="preserve">53446</x:t>
  </x:si>
  <x:si>
    <x:t xml:space="preserve">Phường Phong Thái</x:t>
  </x:si>
  <x:si>
    <x:t xml:space="preserve">Thôn Bồ Điền</x:t>
  </x:si>
  <x:si>
    <x:t xml:space="preserve">02343551809</x:t>
  </x:si>
  <x:si>
    <x:t xml:space="preserve">HUEG00K</x:t>
  </x:si>
  <x:si>
    <x:t xml:space="preserve">535390</x:t>
  </x:si>
  <x:si>
    <x:t xml:space="preserve">5333</x:t>
  </x:si>
  <x:si>
    <x:t xml:space="preserve">Bưu điện xã Bình Điền</x:t>
  </x:si>
  <x:si>
    <x:t xml:space="preserve">Bình Điền</x:t>
  </x:si>
  <x:si>
    <x:t xml:space="preserve">49424</x:t>
  </x:si>
  <x:si>
    <x:t xml:space="preserve">53454</x:t>
  </x:si>
  <x:si>
    <x:t xml:space="preserve">Xã Bình Điền</x:t>
  </x:si>
  <x:si>
    <x:t xml:space="preserve">Thôn Bình Lợi</x:t>
  </x:si>
  <x:si>
    <x:t xml:space="preserve">02343550242</x:t>
  </x:si>
  <x:si>
    <x:t xml:space="preserve">HUEG00L</x:t>
  </x:si>
  <x:si>
    <x:t xml:space="preserve">535910</x:t>
  </x:si>
  <x:si>
    <x:t xml:space="preserve">5336</x:t>
  </x:si>
  <x:si>
    <x:t xml:space="preserve">Bưu điện xã A Lưới 3</x:t>
  </x:si>
  <x:si>
    <x:t xml:space="preserve">Bốt Đỏ</x:t>
  </x:si>
  <x:si>
    <x:t xml:space="preserve">49529</x:t>
  </x:si>
  <x:si>
    <x:t xml:space="preserve">53768</x:t>
  </x:si>
  <x:si>
    <x:t xml:space="preserve">Xã A Lưới 3</x:t>
  </x:si>
  <x:si>
    <x:t xml:space="preserve">Thôn Quảng Hợp</x:t>
  </x:si>
  <x:si>
    <x:t xml:space="preserve">02343878203</x:t>
  </x:si>
  <x:si>
    <x:t xml:space="preserve">HUEG00M</x:t>
  </x:si>
  <x:si>
    <x:t xml:space="preserve">536200</x:t>
  </x:si>
  <x:si>
    <x:t xml:space="preserve">5312</x:t>
  </x:si>
  <x:si>
    <x:t xml:space="preserve">Bưu điện phường Thanh Thủy</x:t>
  </x:si>
  <x:si>
    <x:t xml:space="preserve">Thủy Dương (TD)</x:t>
  </x:si>
  <x:si>
    <x:t xml:space="preserve">49619</x:t>
  </x:si>
  <x:si>
    <x:t xml:space="preserve">53450</x:t>
  </x:si>
  <x:si>
    <x:t xml:space="preserve">Phường Thanh Thủy</x:t>
  </x:si>
  <x:si>
    <x:t xml:space="preserve">Tổ 7</x:t>
  </x:si>
  <x:si>
    <x:t xml:space="preserve">02343865117</x:t>
  </x:si>
  <x:si>
    <x:t xml:space="preserve">HUEG00N</x:t>
  </x:si>
  <x:si>
    <x:t xml:space="preserve">536730</x:t>
  </x:si>
  <x:si>
    <x:t xml:space="preserve">5300</x:t>
  </x:si>
  <x:si>
    <x:t xml:space="preserve">Bưu điện phường Thuận An</x:t>
  </x:si>
  <x:si>
    <x:t xml:space="preserve">Phú Hải</x:t>
  </x:si>
  <x:si>
    <x:t xml:space="preserve">49141</x:t>
  </x:si>
  <x:si>
    <x:t xml:space="preserve">53675</x:t>
  </x:si>
  <x:si>
    <x:t xml:space="preserve">Phường Thuận An</x:t>
  </x:si>
  <x:si>
    <x:t xml:space="preserve">Thôn Cự Lại Đông</x:t>
  </x:si>
  <x:si>
    <x:t xml:space="preserve">5367305367301</x:t>
  </x:si>
  <x:si>
    <x:t xml:space="preserve">HUEG00O</x:t>
  </x:si>
  <x:si>
    <x:t xml:space="preserve">536750</x:t>
  </x:si>
  <x:si>
    <x:t xml:space="preserve">Cửa Thuận</x:t>
  </x:si>
  <x:si>
    <x:t xml:space="preserve">57 Đường Kinh Dương Vương</x:t>
  </x:si>
  <x:si>
    <x:t xml:space="preserve">536750536751</x:t>
  </x:si>
  <x:si>
    <x:t xml:space="preserve">HUEG00P</x:t>
  </x:si>
  <x:si>
    <x:t xml:space="preserve">536810</x:t>
  </x:si>
  <x:si>
    <x:t xml:space="preserve">5302</x:t>
  </x:si>
  <x:si>
    <x:t xml:space="preserve">Bưu điện phường Mỹ Thượng</x:t>
  </x:si>
  <x:si>
    <x:t xml:space="preserve">Trung Đông</x:t>
  </x:si>
  <x:si>
    <x:t xml:space="preserve">Thôn Trung Đông</x:t>
  </x:si>
  <x:si>
    <x:t xml:space="preserve">02343860501</x:t>
  </x:si>
  <x:si>
    <x:t xml:space="preserve">HUEG00Q</x:t>
  </x:si>
  <x:si>
    <x:t xml:space="preserve">536890</x:t>
  </x:si>
  <x:si>
    <x:t xml:space="preserve">Vinh Thái</x:t>
  </x:si>
  <x:si>
    <x:t xml:space="preserve">Thôn Thanh Lam Bồ</x:t>
  </x:si>
  <x:si>
    <x:t xml:space="preserve">0234.3869327</x:t>
  </x:si>
  <x:si>
    <x:t xml:space="preserve">HUEG00R</x:t>
  </x:si>
  <x:si>
    <x:t xml:space="preserve">536960</x:t>
  </x:si>
  <x:si>
    <x:t xml:space="preserve">5322</x:t>
  </x:si>
  <x:si>
    <x:t xml:space="preserve">Bưu điện xã Phú Vinh</x:t>
  </x:si>
  <x:si>
    <x:t xml:space="preserve">Phú Diên</x:t>
  </x:si>
  <x:si>
    <x:t xml:space="preserve">49928</x:t>
  </x:si>
  <x:si>
    <x:t xml:space="preserve">53758</x:t>
  </x:si>
  <x:si>
    <x:t xml:space="preserve">Xã Phú Vinh</x:t>
  </x:si>
  <x:si>
    <x:t xml:space="preserve">Thôn Thanh Dương</x:t>
  </x:si>
  <x:si>
    <x:t xml:space="preserve">0234.3860201</x:t>
  </x:si>
  <x:si>
    <x:t xml:space="preserve">HUEG00S</x:t>
  </x:si>
  <x:si>
    <x:t xml:space="preserve">537000</x:t>
  </x:si>
  <x:si>
    <x:t xml:space="preserve">Vinh An</x:t>
  </x:si>
  <x:si>
    <x:t xml:space="preserve">Thôn An Mỹ</x:t>
  </x:si>
  <x:si>
    <x:t xml:space="preserve">0234.3860801</x:t>
  </x:si>
  <x:si>
    <x:t xml:space="preserve">HUEG00T</x:t>
  </x:si>
  <x:si>
    <x:t xml:space="preserve">537130</x:t>
  </x:si>
  <x:si>
    <x:t xml:space="preserve">5329</x:t>
  </x:si>
  <x:si>
    <x:t xml:space="preserve">Bưu điện xã Chân Mây - Lăng Cô</x:t>
  </x:si>
  <x:si>
    <x:t xml:space="preserve">Lộc Vĩnh</x:t>
  </x:si>
  <x:si>
    <x:t xml:space="preserve">49825</x:t>
  </x:si>
  <x:si>
    <x:t xml:space="preserve">53456</x:t>
  </x:si>
  <x:si>
    <x:t xml:space="preserve">Xã Chân Mây – Lăng Cô</x:t>
  </x:si>
  <x:si>
    <x:t xml:space="preserve">Thôn Bình An 1</x:t>
  </x:si>
  <x:si>
    <x:t xml:space="preserve">0234.3681201</x:t>
  </x:si>
  <x:si>
    <x:t xml:space="preserve">HUEG00U</x:t>
  </x:si>
  <x:si>
    <x:t xml:space="preserve">537150</x:t>
  </x:si>
  <x:si>
    <x:t xml:space="preserve">5325</x:t>
  </x:si>
  <x:si>
    <x:t xml:space="preserve">Bưu điện xã Vinh Lộc</x:t>
  </x:si>
  <x:si>
    <x:t xml:space="preserve">Cửa Tư Hiền</x:t>
  </x:si>
  <x:si>
    <x:t xml:space="preserve">Thôn Hiền Vân 1</x:t>
  </x:si>
  <x:si>
    <x:t xml:space="preserve">02343874721</x:t>
  </x:si>
  <x:si>
    <x:t xml:space="preserve">HUEG00V</x:t>
  </x:si>
  <x:si>
    <x:t xml:space="preserve">537180</x:t>
  </x:si>
  <x:si>
    <x:t xml:space="preserve">Phụng Chánh</x:t>
  </x:si>
  <x:si>
    <x:t xml:space="preserve">Thôn Phụng Chánh</x:t>
  </x:si>
  <x:si>
    <x:t xml:space="preserve">02343874719</x:t>
  </x:si>
  <x:si>
    <x:t xml:space="preserve">HUEG00W</x:t>
  </x:si>
  <x:si>
    <x:t xml:space="preserve">537230</x:t>
  </x:si>
  <x:si>
    <x:t xml:space="preserve">5326</x:t>
  </x:si>
  <x:si>
    <x:t xml:space="preserve">Bưu điện xã Hưng Lộc</x:t>
  </x:si>
  <x:si>
    <x:t xml:space="preserve">La Sơn</x:t>
  </x:si>
  <x:si>
    <x:t xml:space="preserve">49828</x:t>
  </x:si>
  <x:si>
    <x:t xml:space="preserve">53750</x:t>
  </x:si>
  <x:si>
    <x:t xml:space="preserve">Xã Hưng Lộc</x:t>
  </x:si>
  <x:si>
    <x:t xml:space="preserve">Thôn Vinh Sơn</x:t>
  </x:si>
  <x:si>
    <x:t xml:space="preserve">02343874201</x:t>
  </x:si>
  <x:si>
    <x:t xml:space="preserve">HUEG00X</x:t>
  </x:si>
  <x:si>
    <x:t xml:space="preserve">537340</x:t>
  </x:si>
  <x:si>
    <x:t xml:space="preserve">Thừa Lưu</x:t>
  </x:si>
  <x:si>
    <x:t xml:space="preserve">Thôn Trung Kiền</x:t>
  </x:si>
  <x:si>
    <x:t xml:space="preserve">2343872288</x:t>
  </x:si>
  <x:si>
    <x:t xml:space="preserve">HUEG00Y</x:t>
  </x:si>
  <x:si>
    <x:t xml:space="preserve">537360</x:t>
  </x:si>
  <x:si>
    <x:t xml:space="preserve">Lăng Cô</x:t>
  </x:si>
  <x:si>
    <x:t xml:space="preserve">Đường Lạc Long Quân</x:t>
  </x:si>
  <x:si>
    <x:t xml:space="preserve">02343874405</x:t>
  </x:si>
  <x:si>
    <x:t xml:space="preserve">HUEM000</x:t>
  </x:si>
  <x:si>
    <x:t xml:space="preserve">530900</x:t>
  </x:si>
  <x:si>
    <x:t xml:space="preserve">5311</x:t>
  </x:si>
  <x:si>
    <x:t xml:space="preserve">Trung tâm khai thác Huế</x:t>
  </x:si>
  <x:si>
    <x:t xml:space="preserve">Hệ 1 Thừa Thiên Huế</x:t>
  </x:si>
  <x:si>
    <x:t xml:space="preserve">Hệ 1</x:t>
  </x:si>
  <x:si>
    <x:t xml:space="preserve">1 Khu CN Phú Bài</x:t>
  </x:si>
  <x:si>
    <x:t xml:space="preserve">0234.3845888</x:t>
  </x:si>
  <x:si>
    <x:t xml:space="preserve">M</x:t>
  </x:si>
  <x:si>
    <x:t xml:space="preserve">HUEG00Z</x:t>
  </x:si>
  <x:si>
    <x:t xml:space="preserve">531000</x:t>
  </x:si>
  <x:si>
    <x:t xml:space="preserve">5309</x:t>
  </x:si>
  <x:si>
    <x:t xml:space="preserve">Văn phòng BĐTP Huế</x:t>
  </x:si>
  <x:si>
    <x:t xml:space="preserve">Chuyển tiền</x:t>
  </x:si>
  <x:si>
    <x:t xml:space="preserve">Sô´08,   Đường Hoàng Hoa Thám, Phường Vĩnh Ninh</x:t>
  </x:si>
  <x:si>
    <x:t xml:space="preserve">HUEG010</x:t>
  </x:si>
  <x:si>
    <x:t xml:space="preserve">531010</x:t>
  </x:si>
  <x:si>
    <x:t xml:space="preserve">Lý Thường Kiệt</x:t>
  </x:si>
  <x:si>
    <x:t xml:space="preserve">Sô´14B,   Đường Lý Thường Kiệt, Phường Vĩnh Ninh</x:t>
  </x:si>
  <x:si>
    <x:t xml:space="preserve">38258650</x:t>
  </x:si>
  <x:si>
    <x:t xml:space="preserve">HUEG011</x:t>
  </x:si>
  <x:si>
    <x:t xml:space="preserve">531115</x:t>
  </x:si>
  <x:si>
    <x:t xml:space="preserve">Văn phòng BĐT Thừa Thiên Huế</x:t>
  </x:si>
  <x:si>
    <x:t xml:space="preserve">KHL- Hành chính công (TD)</x:t>
  </x:si>
  <x:si>
    <x:t xml:space="preserve">02343827990</x:t>
  </x:si>
  <x:si>
    <x:t xml:space="preserve">HUEG012</x:t>
  </x:si>
  <x:si>
    <x:t xml:space="preserve">531150</x:t>
  </x:si>
  <x:si>
    <x:t xml:space="preserve">Lê Lợi (TD)</x:t>
  </x:si>
  <x:si>
    <x:t xml:space="preserve">Sô´49,   Đường Lê Lợi, Phường Phú Hội</x:t>
  </x:si>
  <x:si>
    <x:t xml:space="preserve">38320740</x:t>
  </x:si>
  <x:si>
    <x:t xml:space="preserve">HUEG013</x:t>
  </x:si>
  <x:si>
    <x:t xml:space="preserve">531160</x:t>
  </x:si>
  <x:si>
    <x:t xml:space="preserve">Huế Hotel</x:t>
  </x:si>
  <x:si>
    <x:t xml:space="preserve">Sô´49,   Đường Hùng Vương, Phường Phú Hội</x:t>
  </x:si>
  <x:si>
    <x:t xml:space="preserve">531160531160</x:t>
  </x:si>
  <x:si>
    <x:t xml:space="preserve">HUEG014</x:t>
  </x:si>
  <x:si>
    <x:t xml:space="preserve">531170</x:t>
  </x:si>
  <x:si>
    <x:t xml:space="preserve">Hương Giang</x:t>
  </x:si>
  <x:si>
    <x:t xml:space="preserve">Sô´51,   Đường Lê Lợi, Phường Phú Nhuận</x:t>
  </x:si>
  <x:si>
    <x:t xml:space="preserve">531170531170</x:t>
  </x:si>
  <x:si>
    <x:t xml:space="preserve">HUEG015</x:t>
  </x:si>
  <x:si>
    <x:t xml:space="preserve">531510</x:t>
  </x:si>
  <x:si>
    <x:t xml:space="preserve">Vĩ Dạ</x:t>
  </x:si>
  <x:si>
    <x:t xml:space="preserve">Sô´170,   Đường Nguyễn Sinh Cung, Phường Vĩ Dạ</x:t>
  </x:si>
  <x:si>
    <x:t xml:space="preserve">531510531510</x:t>
  </x:si>
  <x:si>
    <x:t xml:space="preserve">HUEG016</x:t>
  </x:si>
  <x:si>
    <x:t xml:space="preserve">531520</x:t>
  </x:si>
  <x:si>
    <x:t xml:space="preserve">Phạm Văn Đồng</x:t>
  </x:si>
  <x:si>
    <x:t xml:space="preserve">  Đường Phạm Văn Đồng, Phường Vĩ Dạ</x:t>
  </x:si>
  <x:si>
    <x:t xml:space="preserve">531520531520</x:t>
  </x:si>
  <x:si>
    <x:t xml:space="preserve">HUEG017</x:t>
  </x:si>
  <x:si>
    <x:t xml:space="preserve">531924</x:t>
  </x:si>
  <x:si>
    <x:t xml:space="preserve">Bãi Dâu</x:t>
  </x:si>
  <x:si>
    <x:t xml:space="preserve">Sô´87,   Đường Nguyễn Gia Thiều, Phường Phú Hậu</x:t>
  </x:si>
  <x:si>
    <x:t xml:space="preserve">531924531924</x:t>
  </x:si>
  <x:si>
    <x:t xml:space="preserve">HUEG018</x:t>
  </x:si>
  <x:si>
    <x:t xml:space="preserve">531940</x:t>
  </x:si>
  <x:si>
    <x:t xml:space="preserve">Nhật Lệ</x:t>
  </x:si>
  <x:si>
    <x:t xml:space="preserve">Sô´86,   Đường Nhật Lệ, Phường Thuận Thành</x:t>
  </x:si>
  <x:si>
    <x:t xml:space="preserve">531940531940</x:t>
  </x:si>
  <x:si>
    <x:t xml:space="preserve">HUEG019</x:t>
  </x:si>
  <x:si>
    <x:t xml:space="preserve">533040</x:t>
  </x:si>
  <x:si>
    <x:t xml:space="preserve">Huế Ga (TD)</x:t>
  </x:si>
  <x:si>
    <x:t xml:space="preserve">Sô´2,   Đường Bùi Thị Xuân, Phường Đúc</x:t>
  </x:si>
  <x:si>
    <x:t xml:space="preserve">533040533040</x:t>
  </x:si>
  <x:si>
    <x:t xml:space="preserve">HUEG01A</x:t>
  </x:si>
  <x:si>
    <x:t xml:space="preserve">533120</x:t>
  </x:si>
  <x:si>
    <x:t xml:space="preserve">Long Thọ</x:t>
  </x:si>
  <x:si>
    <x:t xml:space="preserve">Sô´355,   Đường Bùi Thị Xuân, Phường Đúc</x:t>
  </x:si>
  <x:si>
    <x:t xml:space="preserve">533120533120</x:t>
  </x:si>
  <x:si>
    <x:t xml:space="preserve">HUEG01B</x:t>
  </x:si>
  <x:si>
    <x:t xml:space="preserve">533500</x:t>
  </x:si>
  <x:si>
    <x:t xml:space="preserve">Trần Phú (Cũ)</x:t>
  </x:si>
  <x:si>
    <x:t xml:space="preserve">Sô´54,   Đường Đòan Hữu Trưng, Phường Phước Vĩnh</x:t>
  </x:si>
  <x:si>
    <x:t xml:space="preserve">533500533500</x:t>
  </x:si>
  <x:si>
    <x:t xml:space="preserve">HUEG01C</x:t>
  </x:si>
  <x:si>
    <x:t xml:space="preserve">533645</x:t>
  </x:si>
  <x:si>
    <x:t xml:space="preserve">Trần Phú</x:t>
  </x:si>
  <x:si>
    <x:t xml:space="preserve">151 Trần Phú</x:t>
  </x:si>
  <x:si>
    <x:t xml:space="preserve">533645533645</x:t>
  </x:si>
  <x:si>
    <x:t xml:space="preserve">HUEG01D</x:t>
  </x:si>
  <x:si>
    <x:t xml:space="preserve">533670</x:t>
  </x:si>
  <x:si>
    <x:t xml:space="preserve">Thuỷ An</x:t>
  </x:si>
  <x:si>
    <x:t xml:space="preserve">Sô´04,   Đường An Dương Vương, Phường An Cựu</x:t>
  </x:si>
  <x:si>
    <x:t xml:space="preserve">533670533670</x:t>
  </x:si>
  <x:si>
    <x:t xml:space="preserve">HUEG01E</x:t>
  </x:si>
  <x:si>
    <x:t xml:space="preserve">533671</x:t>
  </x:si>
  <x:si>
    <x:t xml:space="preserve">An Dương Vương</x:t>
  </x:si>
  <x:si>
    <x:t xml:space="preserve">49129</x:t>
  </x:si>
  <x:si>
    <x:t xml:space="preserve">53367</x:t>
  </x:si>
  <x:si>
    <x:t xml:space="preserve">Phường An Cựu</x:t>
  </x:si>
  <x:si>
    <x:t xml:space="preserve">Sô´17,   Đường An Dương Vương, Phường An Cựu</x:t>
  </x:si>
  <x:si>
    <x:t xml:space="preserve">5336715336711</x:t>
  </x:si>
  <x:si>
    <x:t xml:space="preserve">HUEG01F</x:t>
  </x:si>
  <x:si>
    <x:t xml:space="preserve">534810</x:t>
  </x:si>
  <x:si>
    <x:t xml:space="preserve">Quảng Thành</x:t>
  </x:si>
  <x:si>
    <x:t xml:space="preserve"> Thôn Thanh Hà, Xã Quảng Thành</x:t>
  </x:si>
  <x:si>
    <x:t xml:space="preserve">HUEG01G</x:t>
  </x:si>
  <x:si>
    <x:t xml:space="preserve">534908</x:t>
  </x:si>
  <x:si>
    <x:t xml:space="preserve">5372</x:t>
  </x:si>
  <x:si>
    <x:t xml:space="preserve">BCVH Hương Trà</x:t>
  </x:si>
  <x:si>
    <x:t xml:space="preserve">KHL Hương Trà</x:t>
  </x:si>
  <x:si>
    <x:t xml:space="preserve">128 Đường Phò Trạch</x:t>
  </x:si>
  <x:si>
    <x:t xml:space="preserve">02343551310</x:t>
  </x:si>
  <x:si>
    <x:t xml:space="preserve">HUEG01H</x:t>
  </x:si>
  <x:si>
    <x:t xml:space="preserve">535510</x:t>
  </x:si>
  <x:si>
    <x:t xml:space="preserve">Hương Chữ</x:t>
  </x:si>
  <x:si>
    <x:t xml:space="preserve"> Thôn Quế Chữ, Xã Hương Chữ</x:t>
  </x:si>
  <x:si>
    <x:t xml:space="preserve">535510535510</x:t>
  </x:si>
  <x:si>
    <x:t xml:space="preserve">HUEG01I</x:t>
  </x:si>
  <x:si>
    <x:t xml:space="preserve">536102</x:t>
  </x:si>
  <x:si>
    <x:t xml:space="preserve">KCN Phú Bài</x:t>
  </x:si>
  <x:si>
    <x:t xml:space="preserve">Tổ 16, Khu VIII, Phường Phú Bài</x:t>
  </x:si>
  <x:si>
    <x:t xml:space="preserve">0000</x:t>
  </x:si>
  <x:si>
    <x:t xml:space="preserve">HUEG01J</x:t>
  </x:si>
  <x:si>
    <x:t xml:space="preserve">536160</x:t>
  </x:si>
  <x:si>
    <x:t xml:space="preserve">Thủy Châu</x:t>
  </x:si>
  <x:si>
    <x:t xml:space="preserve"> Thôn Châu Sơn, Xã Thủy Châu</x:t>
  </x:si>
  <x:si>
    <x:t xml:space="preserve">536160536160</x:t>
  </x:si>
  <x:si>
    <x:t xml:space="preserve">HUEG01K</x:t>
  </x:si>
  <x:si>
    <x:t xml:space="preserve">536238</x:t>
  </x:si>
  <x:si>
    <x:t xml:space="preserve">5373</x:t>
  </x:si>
  <x:si>
    <x:t xml:space="preserve">BCVH Hương Thủy</x:t>
  </x:si>
  <x:si>
    <x:t xml:space="preserve">KHL Hương Thủy</x:t>
  </x:si>
  <x:si>
    <x:t xml:space="preserve">HUEG01L</x:t>
  </x:si>
  <x:si>
    <x:t xml:space="preserve">536328</x:t>
  </x:si>
  <x:si>
    <x:t xml:space="preserve">Khu CN Phú Bài</x:t>
  </x:si>
  <x:si>
    <x:t xml:space="preserve">HUEG01M</x:t>
  </x:si>
  <x:si>
    <x:t xml:space="preserve">536760</x:t>
  </x:si>
  <x:si>
    <x:t xml:space="preserve">Phú Tân</x:t>
  </x:si>
  <x:si>
    <x:t xml:space="preserve"> Thôn Tân Cảng, Thị trấn Thuận An</x:t>
  </x:si>
  <x:si>
    <x:t xml:space="preserve">HUEG01N</x:t>
  </x:si>
  <x:si>
    <x:t xml:space="preserve">536870</x:t>
  </x:si>
  <x:si>
    <x:t xml:space="preserve">Viễn Trình</x:t>
  </x:si>
  <x:si>
    <x:t xml:space="preserve"> Thôn Viễn Trình, Xã Phú Đa</x:t>
  </x:si>
  <x:si>
    <x:t xml:space="preserve">HUEG01O</x:t>
  </x:si>
  <x:si>
    <x:t xml:space="preserve">537200</x:t>
  </x:si>
  <x:si>
    <x:t xml:space="preserve">Truồi</x:t>
  </x:si>
  <x:si>
    <x:t xml:space="preserve">49814</x:t>
  </x:si>
  <x:si>
    <x:t xml:space="preserve">53720</x:t>
  </x:si>
  <x:si>
    <x:t xml:space="preserve">Xã Lộc An</x:t>
  </x:si>
  <x:si>
    <x:t xml:space="preserve"> Thôn Xuân Lai, Xã Lộc An</x:t>
  </x:si>
  <x:si>
    <x:t xml:space="preserve">537200537200</x:t>
  </x:si>
  <x:si>
    <x:t xml:space="preserve">HUEP009</x:t>
  </x:si>
  <x:si>
    <x:t xml:space="preserve">531002</x:t>
  </x:si>
  <x:si>
    <x:t xml:space="preserve">Bệnh Viện Trung Ương Huế</x:t>
  </x:si>
  <x:si>
    <x:t xml:space="preserve">Sô´16,   Đường Lê Lợi, Phường Vĩnh Ninh</x:t>
  </x:si>
  <x:si>
    <x:t xml:space="preserve">8228910</x:t>
  </x:si>
  <x:si>
    <x:t xml:space="preserve">HUEP00A</x:t>
  </x:si>
  <x:si>
    <x:t xml:space="preserve">531003</x:t>
  </x:si>
  <x:si>
    <x:t xml:space="preserve">Festival</x:t>
  </x:si>
  <x:si>
    <x:t xml:space="preserve">Sô´11,   Đường Lê Lợi, Phường Vĩnh Ninh</x:t>
  </x:si>
  <x:si>
    <x:t xml:space="preserve">8253750</x:t>
  </x:si>
  <x:si>
    <x:t xml:space="preserve">HUEP00B</x:t>
  </x:si>
  <x:si>
    <x:t xml:space="preserve">531141</x:t>
  </x:si>
  <x:si>
    <x:t xml:space="preserve">Hùng Vương</x:t>
  </x:si>
  <x:si>
    <x:t xml:space="preserve">Sô´19,   Đường Hùng Vương, Phường Phú Nhuận</x:t>
  </x:si>
  <x:si>
    <x:t xml:space="preserve">8453570</x:t>
  </x:si>
  <x:si>
    <x:t xml:space="preserve">HUEP00C</x:t>
  </x:si>
  <x:si>
    <x:t xml:space="preserve">531142</x:t>
  </x:si>
  <x:si>
    <x:t xml:space="preserve">Morin</x:t>
  </x:si>
  <x:si>
    <x:t xml:space="preserve">Sô´30,   Đường Lê Lợi, Phường Phú Nhuận</x:t>
  </x:si>
  <x:si>
    <x:t xml:space="preserve">8453100</x:t>
  </x:si>
  <x:si>
    <x:t xml:space="preserve">HUEP00D</x:t>
  </x:si>
  <x:si>
    <x:t xml:space="preserve">531870</x:t>
  </x:si>
  <x:si>
    <x:t xml:space="preserve">Sô´74,   Đường Nguyễn Gia Thiều, Phường Phú Hậu</x:t>
  </x:si>
  <x:si>
    <x:t xml:space="preserve">HUEP00E</x:t>
  </x:si>
  <x:si>
    <x:t xml:space="preserve">535581</x:t>
  </x:si>
  <x:si>
    <x:t xml:space="preserve">5353</x:t>
  </x:si>
  <x:si>
    <x:t xml:space="preserve">BĐKV Hương Trà - Quảng Điền</x:t>
  </x:si>
  <x:si>
    <x:t xml:space="preserve">Lăng Minh Mạng</x:t>
  </x:si>
  <x:si>
    <x:t xml:space="preserve"> Thôn La Khê Bãi, Xã Hương Thọ</x:t>
  </x:si>
  <x:si>
    <x:t xml:space="preserve">HUEP00F</x:t>
  </x:si>
  <x:si>
    <x:t xml:space="preserve">535701</x:t>
  </x:si>
  <x:si>
    <x:t xml:space="preserve">5357</x:t>
  </x:si>
  <x:si>
    <x:t xml:space="preserve">BCVH A Lưới</x:t>
  </x:si>
  <x:si>
    <x:t xml:space="preserve">Chợ A Lưới</x:t>
  </x:si>
  <x:si>
    <x:t xml:space="preserve"> Ấp Cụm 6, Thị Trấn A Lưới</x:t>
  </x:si>
  <x:si>
    <x:t xml:space="preserve">HUEP00G</x:t>
  </x:si>
  <x:si>
    <x:t xml:space="preserve">535931</x:t>
  </x:si>
  <x:si>
    <x:t xml:space="preserve">Hương Lâm</x:t>
  </x:si>
  <x:si>
    <x:t xml:space="preserve"> Thôn Ka Nôn 1, Xã Hương Lâm</x:t>
  </x:si>
  <x:si>
    <x:t xml:space="preserve">HUEP00H</x:t>
  </x:si>
  <x:si>
    <x:t xml:space="preserve">536101</x:t>
  </x:si>
  <x:si>
    <x:t xml:space="preserve">5361</x:t>
  </x:si>
  <x:si>
    <x:t xml:space="preserve">BCVH Hương Thuỷ</x:t>
  </x:si>
  <x:si>
    <x:t xml:space="preserve">Sân Bay</x:t>
  </x:si>
  <x:si>
    <x:t xml:space="preserve"> Khu Viii, Thị Trấn Phú Bài</x:t>
  </x:si>
  <x:si>
    <x:t xml:space="preserve">HUEP00I</x:t>
  </x:si>
  <x:si>
    <x:t xml:space="preserve">536223</x:t>
  </x:si>
  <x:si>
    <x:t xml:space="preserve">Dạ Lê</x:t>
  </x:si>
  <x:si>
    <x:t xml:space="preserve"> Thôn 7, Xã Thủy Phương</x:t>
  </x:si>
  <x:si>
    <x:t xml:space="preserve">HUEP00J</x:t>
  </x:si>
  <x:si>
    <x:t xml:space="preserve">536941</x:t>
  </x:si>
  <x:si>
    <x:t xml:space="preserve">5367</x:t>
  </x:si>
  <x:si>
    <x:t xml:space="preserve">BCVH Phú Vang</x:t>
  </x:si>
  <x:si>
    <x:t xml:space="preserve"> Thôn Lộc Sơn, Xã Phú Xuân</x:t>
  </x:si>
  <x:si>
    <x:t xml:space="preserve">HUEP00K</x:t>
  </x:si>
  <x:si>
    <x:t xml:space="preserve">537341</x:t>
  </x:si>
  <x:si>
    <x:t xml:space="preserve">5371</x:t>
  </x:si>
  <x:si>
    <x:t xml:space="preserve">BCVH Phú Lộc</x:t>
  </x:si>
  <x:si>
    <x:t xml:space="preserve">Chân Mây</x:t>
  </x:si>
  <x:si>
    <x:t xml:space="preserve"> Thôn Thổ Sơn, Xã Lộc Tiến</x:t>
  </x:si>
  <x:si>
    <x:t xml:space="preserve">HUEK000</x:t>
  </x:si>
  <x:si>
    <x:t xml:space="preserve">530100</x:t>
  </x:si>
  <x:si>
    <x:t xml:space="preserve">KTC1 Huế 1</x:t>
  </x:si>
  <x:si>
    <x:t xml:space="preserve">Khai thác tỉnh</x:t>
  </x:si>
  <x:si>
    <x:t xml:space="preserve">K</x:t>
  </x:si>
  <x:si>
    <x:t xml:space="preserve">HUEK001</x:t>
  </x:si>
  <x:si>
    <x:t xml:space="preserve">533800</x:t>
  </x:si>
  <x:si>
    <x:t xml:space="preserve">KTC2 TP Huế</x:t>
  </x:si>
  <x:si>
    <x:t xml:space="preserve">HUEK002</x:t>
  </x:si>
  <x:si>
    <x:t xml:space="preserve">534630</x:t>
  </x:si>
  <x:si>
    <x:t xml:space="preserve">KT Quảng Điền (TD)</x:t>
  </x:si>
  <x:si>
    <x:t xml:space="preserve">Thôn Khuôn Phò Nam</x:t>
  </x:si>
  <x:si>
    <x:t xml:space="preserve">02343555515</x:t>
  </x:si>
  <x:si>
    <x:t xml:space="preserve">HUEK003</x:t>
  </x:si>
  <x:si>
    <x:t xml:space="preserve">534940</x:t>
  </x:si>
  <x:si>
    <x:t xml:space="preserve">KT Phong Điền</x:t>
  </x:si>
  <x:si>
    <x:t xml:space="preserve">02343551490</x:t>
  </x:si>
  <x:si>
    <x:t xml:space="preserve">HUEK004</x:t>
  </x:si>
  <x:si>
    <x:t xml:space="preserve">535360</x:t>
  </x:si>
  <x:si>
    <x:t xml:space="preserve">KT Hương Trà</x:t>
  </x:si>
  <x:si>
    <x:t xml:space="preserve">02343558672</x:t>
  </x:si>
  <x:si>
    <x:t xml:space="preserve">HUEK005</x:t>
  </x:si>
  <x:si>
    <x:t xml:space="preserve">535710</x:t>
  </x:si>
  <x:si>
    <x:t xml:space="preserve">5377</x:t>
  </x:si>
  <x:si>
    <x:t xml:space="preserve">BCVH A Lưới</x:t>
  </x:si>
  <x:si>
    <x:t xml:space="preserve">KT A Lưới</x:t>
  </x:si>
  <x:si>
    <x:t xml:space="preserve">02343878211</x:t>
  </x:si>
  <x:si>
    <x:t xml:space="preserve">HUEK006</x:t>
  </x:si>
  <x:si>
    <x:t xml:space="preserve">536130</x:t>
  </x:si>
  <x:si>
    <x:t xml:space="preserve">KT Hương Thủy</x:t>
  </x:si>
  <x:si>
    <x:t xml:space="preserve">272 Đường Nguyễn Tất Thành</x:t>
  </x:si>
  <x:si>
    <x:t xml:space="preserve">02343862879</x:t>
  </x:si>
  <x:si>
    <x:t xml:space="preserve">HUEK007</x:t>
  </x:si>
  <x:si>
    <x:t xml:space="preserve">536410</x:t>
  </x:si>
  <x:si>
    <x:t xml:space="preserve">KT Nam Đông</x:t>
  </x:si>
  <x:si>
    <x:t xml:space="preserve">HUEK008</x:t>
  </x:si>
  <x:si>
    <x:t xml:space="preserve">536770</x:t>
  </x:si>
  <x:si>
    <x:t xml:space="preserve">KT Phú Vang</x:t>
  </x:si>
  <x:si>
    <x:t xml:space="preserve">02343868348</x:t>
  </x:si>
  <x:si>
    <x:t xml:space="preserve">HUEK009</x:t>
  </x:si>
  <x:si>
    <x:t xml:space="preserve">537140</x:t>
  </x:si>
  <x:si>
    <x:t xml:space="preserve">5376</x:t>
  </x:si>
  <x:si>
    <x:t xml:space="preserve">BCVH Phú Lộc</x:t>
  </x:si>
  <x:si>
    <x:t xml:space="preserve">KT Phú Lộc</x:t>
  </x:si>
  <x:si>
    <x:t xml:space="preserve">02343871571</x:t>
  </x:si>
  <x:si>
    <x:t xml:space="preserve">HUEV000</x:t>
  </x:si>
  <x:si>
    <x:t xml:space="preserve">533140</x:t>
  </x:si>
  <x:si>
    <x:t xml:space="preserve">Bưu cục vận hành</x:t>
  </x:si>
  <x:si>
    <x:t xml:space="preserve">02343826278</x:t>
  </x:si>
  <x:si>
    <x:t xml:space="preserve">V</x:t>
  </x:si>
  <x:si>
    <x:t xml:space="preserve">HUEV001</x:t>
  </x:si>
  <x:si>
    <x:t xml:space="preserve">531420</x:t>
  </x:si>
  <x:si>
    <x:t xml:space="preserve">BCP Huế 3 (*)</x:t>
  </x:si>
  <x:si>
    <x:t xml:space="preserve">HUEV002</x:t>
  </x:si>
  <x:si>
    <x:t xml:space="preserve">535470</x:t>
  </x:si>
  <x:si>
    <x:t xml:space="preserve">HUEV003</x:t>
  </x:si>
  <x:si>
    <x:t xml:space="preserve">535790</x:t>
  </x:si>
  <x:si>
    <x:t xml:space="preserve">HUEV004</x:t>
  </x:si>
  <x:si>
    <x:t xml:space="preserve">536250</x:t>
  </x:si>
  <x:si>
    <x:t xml:space="preserve">HUEV005</x:t>
  </x:si>
  <x:si>
    <x:t xml:space="preserve">537015</x:t>
  </x:si>
  <x:si>
    <x:t xml:space="preserve">5374</x:t>
  </x:si>
  <x:si>
    <x:t xml:space="preserve">BCVH Thuận An</x:t>
  </x:si>
  <x:si>
    <x:t xml:space="preserve">02343858557</x:t>
  </x:si>
  <x:si>
    <x:t xml:space="preserve">HUEV006</x:t>
  </x:si>
  <x:si>
    <x:t xml:space="preserve">537220</x:t>
  </x:si>
  <x:si>
    <x:t xml:space="preserve">HUEV007</x:t>
  </x:si>
  <x:si>
    <x:t xml:space="preserve">532220</x:t>
  </x:si>
  <x:si>
    <x:t xml:space="preserve">BCP Huế Ô Tô (TD)</x:t>
  </x:si>
  <x:si>
    <x:t xml:space="preserve">02343825829</x:t>
  </x:si>
  <x:si>
    <x:t xml:space="preserve">HUEV008</x:t>
  </x:si>
  <x:si>
    <x:t xml:space="preserve">533130</x:t>
  </x:si>
  <x:si>
    <x:t xml:space="preserve">Huế Bắc (TD)</x:t>
  </x:si>
  <x:si>
    <x:t xml:space="preserve">02 Đường Nguyễn Văn Linh</x:t>
  </x:si>
  <x:si>
    <x:t xml:space="preserve">02343758885</x:t>
  </x:si>
  <x:si>
    <x:t xml:space="preserve">HUEV009</x:t>
  </x:si>
  <x:si>
    <x:t xml:space="preserve">534650</x:t>
  </x:si>
  <x:si>
    <x:t xml:space="preserve">BCP Quảng Điền (TD)</x:t>
  </x:si>
  <x:si>
    <x:t xml:space="preserve">HUEV00A</x:t>
  </x:si>
  <x:si>
    <x:t xml:space="preserve">534990</x:t>
  </x:si>
  <x:si>
    <x:t xml:space="preserve">BCP Phong Điền (TD)</x:t>
  </x:si>
  <x:si>
    <x:t xml:space="preserve">HUEV00B</x:t>
  </x:si>
  <x:si>
    <x:t xml:space="preserve">536460</x:t>
  </x:si>
  <x:si>
    <x:t xml:space="preserve">BCP Nam Đông (TD)</x:t>
  </x:si>
  <x:si>
    <x:t xml:space="preserve">HUEV00C</x:t>
  </x:si>
  <x:si>
    <x:t xml:space="preserve">536715</x:t>
  </x:si>
  <x:si>
    <x:t xml:space="preserve">Phú Thượng (TD)</x:t>
  </x:si>
  <x:si>
    <x:t xml:space="preserve">23438605010</x:t>
  </x:si>
  <x:si>
    <x:t xml:space="preserve">HUEV00D</x:t>
  </x:si>
  <x:si>
    <x:t xml:space="preserve">536840</x:t>
  </x:si>
  <x:si>
    <x:t xml:space="preserve"> Thôn Hòa Tây, Thị trấn Phú Đa</x:t>
  </x:si>
  <x:si>
    <x:t xml:space="preserve">HUEX000</x:t>
  </x:si>
  <x:si>
    <x:t xml:space="preserve">532530</x:t>
  </x:si>
  <x:si>
    <x:t xml:space="preserve">Hương Sơ</x:t>
  </x:si>
  <x:si>
    <x:t xml:space="preserve">VHX</x:t>
  </x:si>
  <x:si>
    <x:t xml:space="preserve">Thôn Lệ Khê</x:t>
  </x:si>
  <x:si>
    <x:t xml:space="preserve">02343589190</x:t>
  </x:si>
  <x:si>
    <x:t xml:space="preserve">X</x:t>
  </x:si>
  <x:si>
    <x:t xml:space="preserve">HUEX001</x:t>
  </x:si>
  <x:si>
    <x:t xml:space="preserve">532920</x:t>
  </x:si>
  <x:si>
    <x:t xml:space="preserve">Hương Long</x:t>
  </x:si>
  <x:si>
    <x:t xml:space="preserve">89 Đường Lý Nam Đế</x:t>
  </x:si>
  <x:si>
    <x:t xml:space="preserve">02343510056</x:t>
  </x:si>
  <x:si>
    <x:t xml:space="preserve">HUEX002</x:t>
  </x:si>
  <x:si>
    <x:t xml:space="preserve">533150</x:t>
  </x:si>
  <x:si>
    <x:t xml:space="preserve">5306</x:t>
  </x:si>
  <x:si>
    <x:t xml:space="preserve">Bưu điện phường Thủy Xuân</x:t>
  </x:si>
  <x:si>
    <x:t xml:space="preserve">Thuỷ Biều</x:t>
  </x:si>
  <x:si>
    <x:t xml:space="preserve">49131</x:t>
  </x:si>
  <x:si>
    <x:t xml:space="preserve">53325</x:t>
  </x:si>
  <x:si>
    <x:t xml:space="preserve">Phường Thủy Xuân</x:t>
  </x:si>
  <x:si>
    <x:t xml:space="preserve">21 Đường Ngô Hà</x:t>
  </x:si>
  <x:si>
    <x:t xml:space="preserve">02343881632</x:t>
  </x:si>
  <x:si>
    <x:t xml:space="preserve">HUEX003</x:t>
  </x:si>
  <x:si>
    <x:t xml:space="preserve">533250</x:t>
  </x:si>
  <x:si>
    <x:t xml:space="preserve">Thuỷ Xuân</x:t>
  </x:si>
  <x:si>
    <x:t xml:space="preserve">45 Đường Minh Mạng</x:t>
  </x:si>
  <x:si>
    <x:t xml:space="preserve">02343836449</x:t>
  </x:si>
  <x:si>
    <x:t xml:space="preserve">HUEX004</x:t>
  </x:si>
  <x:si>
    <x:t xml:space="preserve">533810</x:t>
  </x:si>
  <x:si>
    <x:t xml:space="preserve">5305</x:t>
  </x:si>
  <x:si>
    <x:t xml:space="preserve">Bưu điện phường An Cựu</x:t>
  </x:si>
  <x:si>
    <x:t xml:space="preserve">22 Đường Hoàng Quốc Việt</x:t>
  </x:si>
  <x:si>
    <x:t xml:space="preserve">02343845585</x:t>
  </x:si>
  <x:si>
    <x:t xml:space="preserve">HUEX005</x:t>
  </x:si>
  <x:si>
    <x:t xml:space="preserve">534620</x:t>
  </x:si>
  <x:si>
    <x:t xml:space="preserve">Quảng Phước</x:t>
  </x:si>
  <x:si>
    <x:t xml:space="preserve">Thôn Khuôn Phò Đông</x:t>
  </x:si>
  <x:si>
    <x:t xml:space="preserve">0564446</x:t>
  </x:si>
  <x:si>
    <x:t xml:space="preserve">HUEX006</x:t>
  </x:si>
  <x:si>
    <x:t xml:space="preserve">534661</x:t>
  </x:si>
  <x:si>
    <x:t xml:space="preserve">Quảng Ngạn</x:t>
  </x:si>
  <x:si>
    <x:t xml:space="preserve">0555899</x:t>
  </x:si>
  <x:si>
    <x:t xml:space="preserve">HUEX007</x:t>
  </x:si>
  <x:si>
    <x:t xml:space="preserve">534680</x:t>
  </x:si>
  <x:si>
    <x:t xml:space="preserve">5320</x:t>
  </x:si>
  <x:si>
    <x:t xml:space="preserve">Bưu điện xã Đan Điền</x:t>
  </x:si>
  <x:si>
    <x:t xml:space="preserve">Quảng Lợi</x:t>
  </x:si>
  <x:si>
    <x:t xml:space="preserve">49218</x:t>
  </x:si>
  <x:si>
    <x:t xml:space="preserve">53458</x:t>
  </x:si>
  <x:si>
    <x:t xml:space="preserve">Xã Đan Điền</x:t>
  </x:si>
  <x:si>
    <x:t xml:space="preserve">Thôn Mỹ Thạnh</x:t>
  </x:si>
  <x:si>
    <x:t xml:space="preserve">0555226</x:t>
  </x:si>
  <x:si>
    <x:t xml:space="preserve">HUEX008</x:t>
  </x:si>
  <x:si>
    <x:t xml:space="preserve">534700</x:t>
  </x:si>
  <x:si>
    <x:t xml:space="preserve">Quảng Thái</x:t>
  </x:si>
  <x:si>
    <x:t xml:space="preserve">Thôn Đông Hồ</x:t>
  </x:si>
  <x:si>
    <x:t xml:space="preserve">0555050</x:t>
  </x:si>
  <x:si>
    <x:t xml:space="preserve">HUEX009</x:t>
  </x:si>
  <x:si>
    <x:t xml:space="preserve">534720</x:t>
  </x:si>
  <x:si>
    <x:t xml:space="preserve">Quảng Vinh</x:t>
  </x:si>
  <x:si>
    <x:t xml:space="preserve">Thôn Sơn Tùng</x:t>
  </x:si>
  <x:si>
    <x:t xml:space="preserve">0555020</x:t>
  </x:si>
  <x:si>
    <x:t xml:space="preserve">HUEX00A</x:t>
  </x:si>
  <x:si>
    <x:t xml:space="preserve">534750</x:t>
  </x:si>
  <x:si>
    <x:t xml:space="preserve">Quảng Phú</x:t>
  </x:si>
  <x:si>
    <x:t xml:space="preserve">Thôn Hạ Lang</x:t>
  </x:si>
  <x:si>
    <x:t xml:space="preserve">0555235</x:t>
  </x:si>
  <x:si>
    <x:t xml:space="preserve">HUEX00B</x:t>
  </x:si>
  <x:si>
    <x:t xml:space="preserve">534770</x:t>
  </x:si>
  <x:si>
    <x:t xml:space="preserve">Quảng Thọ</x:t>
  </x:si>
  <x:si>
    <x:t xml:space="preserve">Thôn Tân Xuân Lai</x:t>
  </x:si>
  <x:si>
    <x:t xml:space="preserve">0555030</x:t>
  </x:si>
  <x:si>
    <x:t xml:space="preserve">HUEX00C</x:t>
  </x:si>
  <x:si>
    <x:t xml:space="preserve">534800</x:t>
  </x:si>
  <x:si>
    <x:t xml:space="preserve">Quảng An</x:t>
  </x:si>
  <x:si>
    <x:t xml:space="preserve">Thôn Mỹ Xá</x:t>
  </x:si>
  <x:si>
    <x:t xml:space="preserve">0556465</x:t>
  </x:si>
  <x:si>
    <x:t xml:space="preserve">HUEX00D</x:t>
  </x:si>
  <x:si>
    <x:t xml:space="preserve">534811</x:t>
  </x:si>
  <x:si>
    <x:t xml:space="preserve">5301</x:t>
  </x:si>
  <x:si>
    <x:t xml:space="preserve">Bưu điện phường Hóa Châu</x:t>
  </x:si>
  <x:si>
    <x:t xml:space="preserve">49134</x:t>
  </x:si>
  <x:si>
    <x:t xml:space="preserve">53430</x:t>
  </x:si>
  <x:si>
    <x:t xml:space="preserve">Phường Hóa Châu</x:t>
  </x:si>
  <x:si>
    <x:t xml:space="preserve">Thôn Thành Trung</x:t>
  </x:si>
  <x:si>
    <x:t xml:space="preserve">0</x:t>
  </x:si>
  <x:si>
    <x:t xml:space="preserve">HUEX00E</x:t>
  </x:si>
  <x:si>
    <x:t xml:space="preserve">534910</x:t>
  </x:si>
  <x:si>
    <x:t xml:space="preserve">Phong Hiền</x:t>
  </x:si>
  <x:si>
    <x:t xml:space="preserve">Thôn An Lỗ</x:t>
  </x:si>
  <x:si>
    <x:t xml:space="preserve">02343551499</x:t>
  </x:si>
  <x:si>
    <x:t xml:space="preserve">HUEX00F</x:t>
  </x:si>
  <x:si>
    <x:t xml:space="preserve">534930</x:t>
  </x:si>
  <x:si>
    <x:t xml:space="preserve">5317</x:t>
  </x:si>
  <x:si>
    <x:t xml:space="preserve">Bưu điện phường Phong Dinh</x:t>
  </x:si>
  <x:si>
    <x:t xml:space="preserve">Phong Chương</x:t>
  </x:si>
  <x:si>
    <x:t xml:space="preserve">49325</x:t>
  </x:si>
  <x:si>
    <x:t xml:space="preserve">53442</x:t>
  </x:si>
  <x:si>
    <x:t xml:space="preserve">Phường Phong Dinh</x:t>
  </x:si>
  <x:si>
    <x:t xml:space="preserve">Thôn Trung Thạnh</x:t>
  </x:si>
  <x:si>
    <x:t xml:space="preserve">02343553553</x:t>
  </x:si>
  <x:si>
    <x:t xml:space="preserve">HUEX00G</x:t>
  </x:si>
  <x:si>
    <x:t xml:space="preserve">534950</x:t>
  </x:si>
  <x:si>
    <x:t xml:space="preserve">Điền Lộc</x:t>
  </x:si>
  <x:si>
    <x:t xml:space="preserve">Thôn Nhất Tây</x:t>
  </x:si>
  <x:si>
    <x:t xml:space="preserve">02343553709</x:t>
  </x:si>
  <x:si>
    <x:t xml:space="preserve">HUEX00H</x:t>
  </x:si>
  <x:si>
    <x:t xml:space="preserve">534980</x:t>
  </x:si>
  <x:si>
    <x:t xml:space="preserve">Thôn 4</x:t>
  </x:si>
  <x:si>
    <x:t xml:space="preserve">02343553311</x:t>
  </x:si>
  <x:si>
    <x:t xml:space="preserve">HUEX00I</x:t>
  </x:si>
  <x:si>
    <x:t xml:space="preserve">535000</x:t>
  </x:si>
  <x:si>
    <x:t xml:space="preserve">Phong Hải</x:t>
  </x:si>
  <x:si>
    <x:t xml:space="preserve">Thôn B1</x:t>
  </x:si>
  <x:si>
    <x:t xml:space="preserve">02343553763</x:t>
  </x:si>
  <x:si>
    <x:t xml:space="preserve">HUEX00J</x:t>
  </x:si>
  <x:si>
    <x:t xml:space="preserve">535010</x:t>
  </x:si>
  <x:si>
    <x:t xml:space="preserve">Điền Môn</x:t>
  </x:si>
  <x:si>
    <x:t xml:space="preserve">Thôn Kế Môn 1</x:t>
  </x:si>
  <x:si>
    <x:t xml:space="preserve">02343552980</x:t>
  </x:si>
  <x:si>
    <x:t xml:space="preserve">HUEX00K</x:t>
  </x:si>
  <x:si>
    <x:t xml:space="preserve">535020</x:t>
  </x:si>
  <x:si>
    <x:t xml:space="preserve">Phong Thu</x:t>
  </x:si>
  <x:si>
    <x:t xml:space="preserve">Thôn Trạch Hữu</x:t>
  </x:si>
  <x:si>
    <x:t xml:space="preserve">02343551609</x:t>
  </x:si>
  <x:si>
    <x:t xml:space="preserve">HUEX00L</x:t>
  </x:si>
  <x:si>
    <x:t xml:space="preserve">535041</x:t>
  </x:si>
  <x:si>
    <x:t xml:space="preserve">Phong Hòa</x:t>
  </x:si>
  <x:si>
    <x:t xml:space="preserve">Thôn Trạch Phổ</x:t>
  </x:si>
  <x:si>
    <x:t xml:space="preserve">02343552626</x:t>
  </x:si>
  <x:si>
    <x:t xml:space="preserve">HUEX00M</x:t>
  </x:si>
  <x:si>
    <x:t xml:space="preserve">535070</x:t>
  </x:si>
  <x:si>
    <x:t xml:space="preserve">Phong Bình</x:t>
  </x:si>
  <x:si>
    <x:t xml:space="preserve">Thôn Tây Phú (phò Trạch)</x:t>
  </x:si>
  <x:si>
    <x:t xml:space="preserve">02343563555</x:t>
  </x:si>
  <x:si>
    <x:t xml:space="preserve">HUEX00N</x:t>
  </x:si>
  <x:si>
    <x:t xml:space="preserve">535090</x:t>
  </x:si>
  <x:si>
    <x:t xml:space="preserve">Điền Hương</x:t>
  </x:si>
  <x:si>
    <x:t xml:space="preserve">Thôn Thanh Hương Tây</x:t>
  </x:si>
  <x:si>
    <x:t xml:space="preserve">02343553416</x:t>
  </x:si>
  <x:si>
    <x:t xml:space="preserve">HUEX00O</x:t>
  </x:si>
  <x:si>
    <x:t xml:space="preserve">535100</x:t>
  </x:si>
  <x:si>
    <x:t xml:space="preserve">Phong Mỹ</x:t>
  </x:si>
  <x:si>
    <x:t xml:space="preserve">Thôn Lưu Hiền Hòa</x:t>
  </x:si>
  <x:si>
    <x:t xml:space="preserve">02343553129</x:t>
  </x:si>
  <x:si>
    <x:t xml:space="preserve">HUEX00P</x:t>
  </x:si>
  <x:si>
    <x:t xml:space="preserve">535141</x:t>
  </x:si>
  <x:si>
    <x:t xml:space="preserve">Phong An</x:t>
  </x:si>
  <x:si>
    <x:t xml:space="preserve">Thôn Phò Ninh</x:t>
  </x:si>
  <x:si>
    <x:t xml:space="preserve">02343551916</x:t>
  </x:si>
  <x:si>
    <x:t xml:space="preserve">HUEX00Q</x:t>
  </x:si>
  <x:si>
    <x:t xml:space="preserve">535160</x:t>
  </x:si>
  <x:si>
    <x:t xml:space="preserve">Phong Sơn</x:t>
  </x:si>
  <x:si>
    <x:t xml:space="preserve">Thôn Sơn Quả</x:t>
  </x:si>
  <x:si>
    <x:t xml:space="preserve">02343553169</x:t>
  </x:si>
  <x:si>
    <x:t xml:space="preserve">HUEX00R</x:t>
  </x:si>
  <x:si>
    <x:t xml:space="preserve">535320</x:t>
  </x:si>
  <x:si>
    <x:t xml:space="preserve">5342</x:t>
  </x:si>
  <x:si>
    <x:t xml:space="preserve">Bưu điện phường Kim Trà</x:t>
  </x:si>
  <x:si>
    <x:t xml:space="preserve">Hương Toàn</x:t>
  </x:si>
  <x:si>
    <x:t xml:space="preserve">49423</x:t>
  </x:si>
  <x:si>
    <x:t xml:space="preserve">53436</x:t>
  </x:si>
  <x:si>
    <x:t xml:space="preserve">Phường Kim Trà</x:t>
  </x:si>
  <x:si>
    <x:t xml:space="preserve">Thôn Giáp Tây</x:t>
  </x:si>
  <x:si>
    <x:t xml:space="preserve">0550800</x:t>
  </x:si>
  <x:si>
    <x:t xml:space="preserve">HUEX00S</x:t>
  </x:si>
  <x:si>
    <x:t xml:space="preserve">535340</x:t>
  </x:si>
  <x:si>
    <x:t xml:space="preserve">Hương Phong</x:t>
  </x:si>
  <x:si>
    <x:t xml:space="preserve">Thôn Vân Quật Thượng</x:t>
  </x:si>
  <x:si>
    <x:t xml:space="preserve">02343568999</x:t>
  </x:si>
  <x:si>
    <x:t xml:space="preserve">HUEX00T</x:t>
  </x:si>
  <x:si>
    <x:t xml:space="preserve">535350</x:t>
  </x:si>
  <x:si>
    <x:t xml:space="preserve">Hương Vinh</x:t>
  </x:si>
  <x:si>
    <x:t xml:space="preserve">Thôn Triều Sơn Nam</x:t>
  </x:si>
  <x:si>
    <x:t xml:space="preserve">02343551201</x:t>
  </x:si>
  <x:si>
    <x:t xml:space="preserve">HUEX00U</x:t>
  </x:si>
  <x:si>
    <x:t xml:space="preserve">535370</x:t>
  </x:si>
  <x:si>
    <x:t xml:space="preserve">Hải Dương</x:t>
  </x:si>
  <x:si>
    <x:t xml:space="preserve">Thôn Thái Dương Thượng Tây</x:t>
  </x:si>
  <x:si>
    <x:t xml:space="preserve">53537051</x:t>
  </x:si>
  <x:si>
    <x:t xml:space="preserve">HUEX00V</x:t>
  </x:si>
  <x:si>
    <x:t xml:space="preserve">535380</x:t>
  </x:si>
  <x:si>
    <x:t xml:space="preserve">Hương Vân</x:t>
  </x:si>
  <x:si>
    <x:t xml:space="preserve">Thôn Lại Bằng</x:t>
  </x:si>
  <x:si>
    <x:t xml:space="preserve">0558590</x:t>
  </x:si>
  <x:si>
    <x:t xml:space="preserve">HUEX00W</x:t>
  </x:si>
  <x:si>
    <x:t xml:space="preserve">535410</x:t>
  </x:si>
  <x:si>
    <x:t xml:space="preserve">Hương Văn</x:t>
  </x:si>
  <x:si>
    <x:t xml:space="preserve">Đội 8 - Văn xá Tây</x:t>
  </x:si>
  <x:si>
    <x:t xml:space="preserve">0567071</x:t>
  </x:si>
  <x:si>
    <x:t xml:space="preserve">HUEX00X</x:t>
  </x:si>
  <x:si>
    <x:t xml:space="preserve">535440</x:t>
  </x:si>
  <x:si>
    <x:t xml:space="preserve">Hương Xuân</x:t>
  </x:si>
  <x:si>
    <x:t xml:space="preserve">Thôn Thanh Lương I</x:t>
  </x:si>
  <x:si>
    <x:t xml:space="preserve">0558114</x:t>
  </x:si>
  <x:si>
    <x:t xml:space="preserve">HUEX00Y</x:t>
  </x:si>
  <x:si>
    <x:t xml:space="preserve">535460</x:t>
  </x:si>
  <x:si>
    <x:t xml:space="preserve">Hương Bình</x:t>
  </x:si>
  <x:si>
    <x:t xml:space="preserve">Thôn Hải Tân</x:t>
  </x:si>
  <x:si>
    <x:t xml:space="preserve">0550273</x:t>
  </x:si>
  <x:si>
    <x:t xml:space="preserve">HUEX00Z</x:t>
  </x:si>
  <x:si>
    <x:t xml:space="preserve">535490</x:t>
  </x:si>
  <x:si>
    <x:t xml:space="preserve">Bình Thành</x:t>
  </x:si>
  <x:si>
    <x:t xml:space="preserve">Thôn Tam Hiệp</x:t>
  </x:si>
  <x:si>
    <x:t xml:space="preserve">0550418</x:t>
  </x:si>
  <x:si>
    <x:t xml:space="preserve">HUEX010</x:t>
  </x:si>
  <x:si>
    <x:t xml:space="preserve">535511</x:t>
  </x:si>
  <x:si>
    <x:t xml:space="preserve">Thôn La Chữ</x:t>
  </x:si>
  <x:si>
    <x:t xml:space="preserve">0557585</x:t>
  </x:si>
  <x:si>
    <x:t xml:space="preserve">HUEX011</x:t>
  </x:si>
  <x:si>
    <x:t xml:space="preserve">535530</x:t>
  </x:si>
  <x:si>
    <x:t xml:space="preserve">Hương An</x:t>
  </x:si>
  <x:si>
    <x:t xml:space="preserve">Thôn Bồn Phổ</x:t>
  </x:si>
  <x:si>
    <x:t xml:space="preserve">02343558421</x:t>
  </x:si>
  <x:si>
    <x:t xml:space="preserve">HUEX012</x:t>
  </x:si>
  <x:si>
    <x:t xml:space="preserve">535550</x:t>
  </x:si>
  <x:si>
    <x:t xml:space="preserve">Hương Hồ</x:t>
  </x:si>
  <x:si>
    <x:t xml:space="preserve">Thôn Long Hồ Hạ</x:t>
  </x:si>
  <x:si>
    <x:t xml:space="preserve">02343550034</x:t>
  </x:si>
  <x:si>
    <x:t xml:space="preserve">HUEX013</x:t>
  </x:si>
  <x:si>
    <x:t xml:space="preserve">535570</x:t>
  </x:si>
  <x:si>
    <x:t xml:space="preserve">Hương Thọ</x:t>
  </x:si>
  <x:si>
    <x:t xml:space="preserve">Thôn Liên Bằng</x:t>
  </x:si>
  <x:si>
    <x:t xml:space="preserve">02343560256</x:t>
  </x:si>
  <x:si>
    <x:t xml:space="preserve">HUEX014</x:t>
  </x:si>
  <x:si>
    <x:t xml:space="preserve">535720</x:t>
  </x:si>
  <x:si>
    <x:t xml:space="preserve">Hồng Kim</x:t>
  </x:si>
  <x:si>
    <x:t xml:space="preserve">49527</x:t>
  </x:si>
  <x:si>
    <x:t xml:space="preserve">53764</x:t>
  </x:si>
  <x:si>
    <x:t xml:space="preserve">Xã A Lưới 1</x:t>
  </x:si>
  <x:si>
    <x:t xml:space="preserve">02343879754</x:t>
  </x:si>
  <x:si>
    <x:t xml:space="preserve">HUEX015</x:t>
  </x:si>
  <x:si>
    <x:t xml:space="preserve">535740</x:t>
  </x:si>
  <x:si>
    <x:t xml:space="preserve">Hồng Trung</x:t>
  </x:si>
  <x:si>
    <x:t xml:space="preserve">Thôn 1</x:t>
  </x:si>
  <x:si>
    <x:t xml:space="preserve">02343879245</x:t>
  </x:si>
  <x:si>
    <x:t xml:space="preserve">HUEX016</x:t>
  </x:si>
  <x:si>
    <x:t xml:space="preserve">535750</x:t>
  </x:si>
  <x:si>
    <x:t xml:space="preserve">Hồng Vân</x:t>
  </x:si>
  <x:si>
    <x:t xml:space="preserve">Thôn A Năm</x:t>
  </x:si>
  <x:si>
    <x:t xml:space="preserve">02343878566</x:t>
  </x:si>
  <x:si>
    <x:t xml:space="preserve">HUEX017</x:t>
  </x:si>
  <x:si>
    <x:t xml:space="preserve">535760</x:t>
  </x:si>
  <x:si>
    <x:t xml:space="preserve">Hồng Bắc</x:t>
  </x:si>
  <x:si>
    <x:t xml:space="preserve">Thôn A Ninh</x:t>
  </x:si>
  <x:si>
    <x:t xml:space="preserve">02343878083</x:t>
  </x:si>
  <x:si>
    <x:t xml:space="preserve">HUEX018</x:t>
  </x:si>
  <x:si>
    <x:t xml:space="preserve">535780</x:t>
  </x:si>
  <x:si>
    <x:t xml:space="preserve">Nhâm</x:t>
  </x:si>
  <x:si>
    <x:t xml:space="preserve">02343879391</x:t>
  </x:si>
  <x:si>
    <x:t xml:space="preserve">HUEX019</x:t>
  </x:si>
  <x:si>
    <x:t xml:space="preserve">535800</x:t>
  </x:si>
  <x:si>
    <x:t xml:space="preserve">Hồng Thái</x:t>
  </x:si>
  <x:si>
    <x:t xml:space="preserve">Thôn A Vinh</x:t>
  </x:si>
  <x:si>
    <x:t xml:space="preserve">02343878454</x:t>
  </x:si>
  <x:si>
    <x:t xml:space="preserve">HUEX01A</x:t>
  </x:si>
  <x:si>
    <x:t xml:space="preserve">535820</x:t>
  </x:si>
  <x:si>
    <x:t xml:space="preserve">Hồng Thượng</x:t>
  </x:si>
  <x:si>
    <x:t xml:space="preserve">Thôn Hợp Thượng</x:t>
  </x:si>
  <x:si>
    <x:t xml:space="preserve">02343879474</x:t>
  </x:si>
  <x:si>
    <x:t xml:space="preserve">HUEX01B</x:t>
  </x:si>
  <x:si>
    <x:t xml:space="preserve">535840</x:t>
  </x:si>
  <x:si>
    <x:t xml:space="preserve">Đông Sơn</x:t>
  </x:si>
  <x:si>
    <x:t xml:space="preserve">49530</x:t>
  </x:si>
  <x:si>
    <x:t xml:space="preserve">53810</x:t>
  </x:si>
  <x:si>
    <x:t xml:space="preserve">Xã A Lưới 4</x:t>
  </x:si>
  <x:si>
    <x:t xml:space="preserve">Thôn Loa</x:t>
  </x:si>
  <x:si>
    <x:t xml:space="preserve">02343870844</x:t>
  </x:si>
  <x:si>
    <x:t xml:space="preserve">HUEX01C</x:t>
  </x:si>
  <x:si>
    <x:t xml:space="preserve">535870</x:t>
  </x:si>
  <x:si>
    <x:t xml:space="preserve">A Ngo</x:t>
  </x:si>
  <x:si>
    <x:t xml:space="preserve">Thôn Quảng Mai</x:t>
  </x:si>
  <x:si>
    <x:t xml:space="preserve">02343878527</x:t>
  </x:si>
  <x:si>
    <x:t xml:space="preserve">HUEX01D</x:t>
  </x:si>
  <x:si>
    <x:t xml:space="preserve">535890</x:t>
  </x:si>
  <x:si>
    <x:t xml:space="preserve">Sơn Thủy</x:t>
  </x:si>
  <x:si>
    <x:t xml:space="preserve">Thôn Quảng Thọ</x:t>
  </x:si>
  <x:si>
    <x:t xml:space="preserve">02343878526</x:t>
  </x:si>
  <x:si>
    <x:t xml:space="preserve">HUEX01E</x:t>
  </x:si>
  <x:si>
    <x:t xml:space="preserve">535911</x:t>
  </x:si>
  <x:si>
    <x:t xml:space="preserve">Phú Vinh</x:t>
  </x:si>
  <x:si>
    <x:t xml:space="preserve">Thôn Phú Thuận</x:t>
  </x:si>
  <x:si>
    <x:t xml:space="preserve">02343878048</x:t>
  </x:si>
  <x:si>
    <x:t xml:space="preserve">HUEX01F</x:t>
  </x:si>
  <x:si>
    <x:t xml:space="preserve">535920</x:t>
  </x:si>
  <x:si>
    <x:t xml:space="preserve">Thôn Hương Phú</x:t>
  </x:si>
  <x:si>
    <x:t xml:space="preserve">02343878702</x:t>
  </x:si>
  <x:si>
    <x:t xml:space="preserve">HUEX01G</x:t>
  </x:si>
  <x:si>
    <x:t xml:space="preserve">535930</x:t>
  </x:si>
  <x:si>
    <x:t xml:space="preserve">Thôn A Đớt</x:t>
  </x:si>
  <x:si>
    <x:t xml:space="preserve">02343878910</x:t>
  </x:si>
  <x:si>
    <x:t xml:space="preserve">HUEX01H</x:t>
  </x:si>
  <x:si>
    <x:t xml:space="preserve">535950</x:t>
  </x:si>
  <x:si>
    <x:t xml:space="preserve">A Roàng</x:t>
  </x:si>
  <x:si>
    <x:t xml:space="preserve">Thôn A Roàng 1</x:t>
  </x:si>
  <x:si>
    <x:t xml:space="preserve">02343870801</x:t>
  </x:si>
  <x:si>
    <x:t xml:space="preserve">HUEX01I</x:t>
  </x:si>
  <x:si>
    <x:t xml:space="preserve">535970</x:t>
  </x:si>
  <x:si>
    <x:t xml:space="preserve">Hồng Hạ</x:t>
  </x:si>
  <x:si>
    <x:t xml:space="preserve">49531</x:t>
  </x:si>
  <x:si>
    <x:t xml:space="preserve">53812</x:t>
  </x:si>
  <x:si>
    <x:t xml:space="preserve">Xã A Lưới 5</x:t>
  </x:si>
  <x:si>
    <x:t xml:space="preserve">Thôn Pa Ring</x:t>
  </x:si>
  <x:si>
    <x:t xml:space="preserve">02343878600</x:t>
  </x:si>
  <x:si>
    <x:t xml:space="preserve">HUEX01J</x:t>
  </x:si>
  <x:si>
    <x:t xml:space="preserve">535980</x:t>
  </x:si>
  <x:si>
    <x:t xml:space="preserve">Hương Nguyên</x:t>
  </x:si>
  <x:si>
    <x:t xml:space="preserve">Thôn Nghĩa</x:t>
  </x:si>
  <x:si>
    <x:t xml:space="preserve">02343878904</x:t>
  </x:si>
  <x:si>
    <x:t xml:space="preserve">HUEX01K</x:t>
  </x:si>
  <x:si>
    <x:t xml:space="preserve">535990</x:t>
  </x:si>
  <x:si>
    <x:t xml:space="preserve">Hồng Thủy</x:t>
  </x:si>
  <x:si>
    <x:t xml:space="preserve">02343878930</x:t>
  </x:si>
  <x:si>
    <x:t xml:space="preserve">HUEX01L</x:t>
  </x:si>
  <x:si>
    <x:t xml:space="preserve">536140</x:t>
  </x:si>
  <x:si>
    <x:t xml:space="preserve">5313</x:t>
  </x:si>
  <x:si>
    <x:t xml:space="preserve">Bưu điện phường Hương Thủy</x:t>
  </x:si>
  <x:si>
    <x:t xml:space="preserve">Thủy Tân</x:t>
  </x:si>
  <x:si>
    <x:t xml:space="preserve">49620</x:t>
  </x:si>
  <x:si>
    <x:t xml:space="preserve">53432</x:t>
  </x:si>
  <x:si>
    <x:t xml:space="preserve">Phường Hương Thủy</x:t>
  </x:si>
  <x:si>
    <x:t xml:space="preserve">Thôn Tân Tô</x:t>
  </x:si>
  <x:si>
    <x:t xml:space="preserve">0234.3862825</x:t>
  </x:si>
  <x:si>
    <x:t xml:space="preserve">HUEX01M</x:t>
  </x:si>
  <x:si>
    <x:t xml:space="preserve">536150</x:t>
  </x:si>
  <x:si>
    <x:t xml:space="preserve">Thủy Lương</x:t>
  </x:si>
  <x:si>
    <x:t xml:space="preserve">Tổ 6, Khu Lương Đông</x:t>
  </x:si>
  <x:si>
    <x:t xml:space="preserve">0234.3862393</x:t>
  </x:si>
  <x:si>
    <x:t xml:space="preserve">HUEX01N</x:t>
  </x:si>
  <x:si>
    <x:t xml:space="preserve">536161</x:t>
  </x:si>
  <x:si>
    <x:t xml:space="preserve">Tổ 11, Xóm Phù Nam I</x:t>
  </x:si>
  <x:si>
    <x:t xml:space="preserve">0234.3444269</x:t>
  </x:si>
  <x:si>
    <x:t xml:space="preserve">HUEX01O</x:t>
  </x:si>
  <x:si>
    <x:t xml:space="preserve">536180</x:t>
  </x:si>
  <x:si>
    <x:t xml:space="preserve">Thủy Thanh</x:t>
  </x:si>
  <x:si>
    <x:t xml:space="preserve">Thôn Thanh Thủy Chánh</x:t>
  </x:si>
  <x:si>
    <x:t xml:space="preserve">0234.3862035</x:t>
  </x:si>
  <x:si>
    <x:t xml:space="preserve">HUEX01P</x:t>
  </x:si>
  <x:si>
    <x:t xml:space="preserve">536190</x:t>
  </x:si>
  <x:si>
    <x:t xml:space="preserve">5303</x:t>
  </x:si>
  <x:si>
    <x:t xml:space="preserve">Bưu điện phường Vỹ Dạ</x:t>
  </x:si>
  <x:si>
    <x:t xml:space="preserve">Thủy Vân</x:t>
  </x:si>
  <x:si>
    <x:t xml:space="preserve">Thôn Xuân Hòa</x:t>
  </x:si>
  <x:si>
    <x:t xml:space="preserve">02343865441</x:t>
  </x:si>
  <x:si>
    <x:t xml:space="preserve">HUEX01Q</x:t>
  </x:si>
  <x:si>
    <x:t xml:space="preserve">536210</x:t>
  </x:si>
  <x:si>
    <x:t xml:space="preserve">Thủy Phương</x:t>
  </x:si>
  <x:si>
    <x:t xml:space="preserve">Tổ 3</x:t>
  </x:si>
  <x:si>
    <x:t xml:space="preserve">02343864199</x:t>
  </x:si>
  <x:si>
    <x:t xml:space="preserve">HUEX01R</x:t>
  </x:si>
  <x:si>
    <x:t xml:space="preserve">536231</x:t>
  </x:si>
  <x:si>
    <x:t xml:space="preserve">Thủy Bằng</x:t>
  </x:si>
  <x:si>
    <x:t xml:space="preserve">Thôn Bằng Lãng</x:t>
  </x:si>
  <x:si>
    <x:t xml:space="preserve">02343865878</x:t>
  </x:si>
  <x:si>
    <x:t xml:space="preserve">HUEX01S</x:t>
  </x:si>
  <x:si>
    <x:t xml:space="preserve">536260</x:t>
  </x:si>
  <x:si>
    <x:t xml:space="preserve">Dương Hòa</x:t>
  </x:si>
  <x:si>
    <x:t xml:space="preserve">Thôn 5 Lương Miêu</x:t>
  </x:si>
  <x:si>
    <x:t xml:space="preserve">0234.3862175</x:t>
  </x:si>
  <x:si>
    <x:t xml:space="preserve">HUEX01T</x:t>
  </x:si>
  <x:si>
    <x:t xml:space="preserve">536270</x:t>
  </x:si>
  <x:si>
    <x:t xml:space="preserve">Phú Sơn</x:t>
  </x:si>
  <x:si>
    <x:t xml:space="preserve">0234.5380412</x:t>
  </x:si>
  <x:si>
    <x:t xml:space="preserve">HUEX01U</x:t>
  </x:si>
  <x:si>
    <x:t xml:space="preserve">536280</x:t>
  </x:si>
  <x:si>
    <x:t xml:space="preserve">Thủy Phù</x:t>
  </x:si>
  <x:si>
    <x:t xml:space="preserve">0234.3863047</x:t>
  </x:si>
  <x:si>
    <x:t xml:space="preserve">HUEX01V</x:t>
  </x:si>
  <x:si>
    <x:t xml:space="preserve">536420</x:t>
  </x:si>
  <x:si>
    <x:t xml:space="preserve">Hương Phú</x:t>
  </x:si>
  <x:si>
    <x:t xml:space="preserve">Thôn Hà An</x:t>
  </x:si>
  <x:si>
    <x:t xml:space="preserve">02343875505</x:t>
  </x:si>
  <x:si>
    <x:t xml:space="preserve">HUEX01W</x:t>
  </x:si>
  <x:si>
    <x:t xml:space="preserve">536450</x:t>
  </x:si>
  <x:si>
    <x:t xml:space="preserve">5331</x:t>
  </x:si>
  <x:si>
    <x:t xml:space="preserve">Bưu điện xã Nam Đông</x:t>
  </x:si>
  <x:si>
    <x:t xml:space="preserve">Hương Sơn</x:t>
  </x:si>
  <x:si>
    <x:t xml:space="preserve">49827</x:t>
  </x:si>
  <x:si>
    <x:t xml:space="preserve">53754</x:t>
  </x:si>
  <x:si>
    <x:t xml:space="preserve">Xã Nam Đông</x:t>
  </x:si>
  <x:si>
    <x:t xml:space="preserve">Thôn 3 (ka Chê)</x:t>
  </x:si>
  <x:si>
    <x:t xml:space="preserve">02343875634</x:t>
  </x:si>
  <x:si>
    <x:t xml:space="preserve">HUEX01X</x:t>
  </x:si>
  <x:si>
    <x:t xml:space="preserve">536470</x:t>
  </x:si>
  <x:si>
    <x:t xml:space="preserve">Thôn Thuận Hòa</x:t>
  </x:si>
  <x:si>
    <x:t xml:space="preserve">02343875461</x:t>
  </x:si>
  <x:si>
    <x:t xml:space="preserve">HUEX01Y</x:t>
  </x:si>
  <x:si>
    <x:t xml:space="preserve">536480</x:t>
  </x:si>
  <x:si>
    <x:t xml:space="preserve">Hương Hữu</x:t>
  </x:si>
  <x:si>
    <x:t xml:space="preserve">49826</x:t>
  </x:si>
  <x:si>
    <x:t xml:space="preserve">53752</x:t>
  </x:si>
  <x:si>
    <x:t xml:space="preserve">Xã Long Quảng</x:t>
  </x:si>
  <x:si>
    <x:t xml:space="preserve">02343875149</x:t>
  </x:si>
  <x:si>
    <x:t xml:space="preserve">HUEX01Z</x:t>
  </x:si>
  <x:si>
    <x:t xml:space="preserve">536500</x:t>
  </x:si>
  <x:si>
    <x:t xml:space="preserve">Thượng Quảng</x:t>
  </x:si>
  <x:si>
    <x:t xml:space="preserve">02343875123</x:t>
  </x:si>
  <x:si>
    <x:t xml:space="preserve">HUEX020</x:t>
  </x:si>
  <x:si>
    <x:t xml:space="preserve">536520</x:t>
  </x:si>
  <x:si>
    <x:t xml:space="preserve">Thượng Long</x:t>
  </x:si>
  <x:si>
    <x:t xml:space="preserve">Ấp , Đội 6</x:t>
  </x:si>
  <x:si>
    <x:t xml:space="preserve">02343875189</x:t>
  </x:si>
  <x:si>
    <x:t xml:space="preserve">HUEX021</x:t>
  </x:si>
  <x:si>
    <x:t xml:space="preserve">536540</x:t>
  </x:si>
  <x:si>
    <x:t xml:space="preserve">Thượng Nhật</x:t>
  </x:si>
  <x:si>
    <x:t xml:space="preserve">Thôn A Tin</x:t>
  </x:si>
  <x:si>
    <x:t xml:space="preserve">02343875740</x:t>
  </x:si>
  <x:si>
    <x:t xml:space="preserve">HUEX022</x:t>
  </x:si>
  <x:si>
    <x:t xml:space="preserve">536560</x:t>
  </x:si>
  <x:si>
    <x:t xml:space="preserve">Thượng Lộ</x:t>
  </x:si>
  <x:si>
    <x:t xml:space="preserve">Thôn La Hố</x:t>
  </x:si>
  <x:si>
    <x:t xml:space="preserve">02343875720</x:t>
  </x:si>
  <x:si>
    <x:t xml:space="preserve">HUEX023</x:t>
  </x:si>
  <x:si>
    <x:t xml:space="preserve">536570</x:t>
  </x:si>
  <x:si>
    <x:t xml:space="preserve">Hương Lộc</x:t>
  </x:si>
  <x:si>
    <x:t xml:space="preserve">02343875557</x:t>
  </x:si>
  <x:si>
    <x:t xml:space="preserve">HUEX024</x:t>
  </x:si>
  <x:si>
    <x:t xml:space="preserve">536701</x:t>
  </x:si>
  <x:si>
    <x:t xml:space="preserve">5339</x:t>
  </x:si>
  <x:si>
    <x:t xml:space="preserve">Bưu điện phường Dương Nỗ</x:t>
  </x:si>
  <x:si>
    <x:t xml:space="preserve">Phú Dương</x:t>
  </x:si>
  <x:si>
    <x:t xml:space="preserve">49142</x:t>
  </x:si>
  <x:si>
    <x:t xml:space="preserve">53678</x:t>
  </x:si>
  <x:si>
    <x:t xml:space="preserve">Phường Dương Nỗ</x:t>
  </x:si>
  <x:si>
    <x:t xml:space="preserve">Thôn Dương Nổ Tây</x:t>
  </x:si>
  <x:si>
    <x:t xml:space="preserve">02343860585</x:t>
  </x:si>
  <x:si>
    <x:t xml:space="preserve">HUEX025</x:t>
  </x:si>
  <x:si>
    <x:t xml:space="preserve">536720</x:t>
  </x:si>
  <x:si>
    <x:t xml:space="preserve">Phú An</x:t>
  </x:si>
  <x:si>
    <x:t xml:space="preserve">Thôn Truyền Nam</x:t>
  </x:si>
  <x:si>
    <x:t xml:space="preserve">0234.3869023</x:t>
  </x:si>
  <x:si>
    <x:t xml:space="preserve">HUEX026</x:t>
  </x:si>
  <x:si>
    <x:t xml:space="preserve">536740</x:t>
  </x:si>
  <x:si>
    <x:t xml:space="preserve">Phú Thuận</x:t>
  </x:si>
  <x:si>
    <x:t xml:space="preserve">Thôn An Dương</x:t>
  </x:si>
  <x:si>
    <x:t xml:space="preserve">5367405367401</x:t>
  </x:si>
  <x:si>
    <x:t xml:space="preserve">HUEX027</x:t>
  </x:si>
  <x:si>
    <x:t xml:space="preserve">536751</x:t>
  </x:si>
  <x:si>
    <x:t xml:space="preserve">Làng Rồng</x:t>
  </x:si>
  <x:si>
    <x:t xml:space="preserve">Thôn An Hải</x:t>
  </x:si>
  <x:si>
    <x:t xml:space="preserve">023438663333</x:t>
  </x:si>
  <x:si>
    <x:t xml:space="preserve">HUEX028</x:t>
  </x:si>
  <x:si>
    <x:t xml:space="preserve">536780</x:t>
  </x:si>
  <x:si>
    <x:t xml:space="preserve">Phú Thanh</x:t>
  </x:si>
  <x:si>
    <x:t xml:space="preserve">Thôn Quy Lai</x:t>
  </x:si>
  <x:si>
    <x:t xml:space="preserve">02343869090</x:t>
  </x:si>
  <x:si>
    <x:t xml:space="preserve">HUEX029</x:t>
  </x:si>
  <x:si>
    <x:t xml:space="preserve">536790</x:t>
  </x:si>
  <x:si>
    <x:t xml:space="preserve">Phú Mậu</x:t>
  </x:si>
  <x:si>
    <x:t xml:space="preserve">Thôn Mậu Tài</x:t>
  </x:si>
  <x:si>
    <x:t xml:space="preserve">02343869699</x:t>
  </x:si>
  <x:si>
    <x:t xml:space="preserve">HUEX02A</x:t>
  </x:si>
  <x:si>
    <x:t xml:space="preserve">536801</x:t>
  </x:si>
  <x:si>
    <x:t xml:space="preserve">Phú Thượng</x:t>
  </x:si>
  <x:si>
    <x:t xml:space="preserve">Thôn Ngọc Anh</x:t>
  </x:si>
  <x:si>
    <x:t xml:space="preserve">02343860666</x:t>
  </x:si>
  <x:si>
    <x:t xml:space="preserve">HUEX02B</x:t>
  </x:si>
  <x:si>
    <x:t xml:space="preserve">536820</x:t>
  </x:si>
  <x:si>
    <x:t xml:space="preserve">Phú Mỹ</x:t>
  </x:si>
  <x:si>
    <x:t xml:space="preserve">Thôn Vinh Vệ</x:t>
  </x:si>
  <x:si>
    <x:t xml:space="preserve">02343869707</x:t>
  </x:si>
  <x:si>
    <x:t xml:space="preserve">HUEX02C</x:t>
  </x:si>
  <x:si>
    <x:t xml:space="preserve">536830</x:t>
  </x:si>
  <x:si>
    <x:t xml:space="preserve">5323</x:t>
  </x:si>
  <x:si>
    <x:t xml:space="preserve">Bưu điện xã Phú Hồ</x:t>
  </x:si>
  <x:si>
    <x:t xml:space="preserve">Phú Hồ</x:t>
  </x:si>
  <x:si>
    <x:t xml:space="preserve">Thôn Trung An</x:t>
  </x:si>
  <x:si>
    <x:t xml:space="preserve">0234.3868135</x:t>
  </x:si>
  <x:si>
    <x:t xml:space="preserve">HUEX02D</x:t>
  </x:si>
  <x:si>
    <x:t xml:space="preserve">536850</x:t>
  </x:si>
  <x:si>
    <x:t xml:space="preserve">Phú Lương</x:t>
  </x:si>
  <x:si>
    <x:t xml:space="preserve">Thôn Đông A</x:t>
  </x:si>
  <x:si>
    <x:t xml:space="preserve">0234.3868106</x:t>
  </x:si>
  <x:si>
    <x:t xml:space="preserve">HUEX02E</x:t>
  </x:si>
  <x:si>
    <x:t xml:space="preserve">536920</x:t>
  </x:si>
  <x:si>
    <x:t xml:space="preserve">Vinh Hà</x:t>
  </x:si>
  <x:si>
    <x:t xml:space="preserve">0234.3869529</x:t>
  </x:si>
  <x:si>
    <x:t xml:space="preserve">HUEX02F</x:t>
  </x:si>
  <x:si>
    <x:t xml:space="preserve">536940</x:t>
  </x:si>
  <x:si>
    <x:t xml:space="preserve">Phú Xuân</x:t>
  </x:si>
  <x:si>
    <x:t xml:space="preserve">Thôn Quảng Xuyên</x:t>
  </x:si>
  <x:si>
    <x:t xml:space="preserve">0234.3868175</x:t>
  </x:si>
  <x:si>
    <x:t xml:space="preserve">HUEX02G</x:t>
  </x:si>
  <x:si>
    <x:t xml:space="preserve">536980</x:t>
  </x:si>
  <x:si>
    <x:t xml:space="preserve">Vinh Xuân</x:t>
  </x:si>
  <x:si>
    <x:t xml:space="preserve">Thôn Tân Sa</x:t>
  </x:si>
  <x:si>
    <x:t xml:space="preserve">02343858770</x:t>
  </x:si>
  <x:si>
    <x:t xml:space="preserve">HUEX02H</x:t>
  </x:si>
  <x:si>
    <x:t xml:space="preserve">536990</x:t>
  </x:si>
  <x:si>
    <x:t xml:space="preserve">Vinh Thanh</x:t>
  </x:si>
  <x:si>
    <x:t xml:space="preserve">02343868699</x:t>
  </x:si>
  <x:si>
    <x:t xml:space="preserve">HUEX02I</x:t>
  </x:si>
  <x:si>
    <x:t xml:space="preserve">537120</x:t>
  </x:si>
  <x:si>
    <x:t xml:space="preserve">Lộc Bình</x:t>
  </x:si>
  <x:si>
    <x:t xml:space="preserve">Thôn Hòa An</x:t>
  </x:si>
  <x:si>
    <x:t xml:space="preserve">02343871133</x:t>
  </x:si>
  <x:si>
    <x:t xml:space="preserve">HUEX02J</x:t>
  </x:si>
  <x:si>
    <x:t xml:space="preserve">537160</x:t>
  </x:si>
  <x:si>
    <x:t xml:space="preserve">Vinh Hải</x:t>
  </x:si>
  <x:si>
    <x:t xml:space="preserve">Thôn Đơn Chế</x:t>
  </x:si>
  <x:si>
    <x:t xml:space="preserve">02343873055</x:t>
  </x:si>
  <x:si>
    <x:t xml:space="preserve">HUEX02K</x:t>
  </x:si>
  <x:si>
    <x:t xml:space="preserve">537181</x:t>
  </x:si>
  <x:si>
    <x:t xml:space="preserve">Vinh Hưng</x:t>
  </x:si>
  <x:si>
    <x:t xml:space="preserve">Thôn Diêm Trường</x:t>
  </x:si>
  <x:si>
    <x:t xml:space="preserve">02343877707</x:t>
  </x:si>
  <x:si>
    <x:t xml:space="preserve">HUEX02L</x:t>
  </x:si>
  <x:si>
    <x:t xml:space="preserve">537190</x:t>
  </x:si>
  <x:si>
    <x:t xml:space="preserve">Vinh Mỹ</x:t>
  </x:si>
  <x:si>
    <x:t xml:space="preserve">0234.3874967</x:t>
  </x:si>
  <x:si>
    <x:t xml:space="preserve">HUEX02M</x:t>
  </x:si>
  <x:si>
    <x:t xml:space="preserve">537201</x:t>
  </x:si>
  <x:si>
    <x:t xml:space="preserve">5327</x:t>
  </x:si>
  <x:si>
    <x:t xml:space="preserve">Bưu điện xã Lộc An</x:t>
  </x:si>
  <x:si>
    <x:t xml:space="preserve">Lộc An</x:t>
  </x:si>
  <x:si>
    <x:t xml:space="preserve">Thôn Bắc Trung</x:t>
  </x:si>
  <x:si>
    <x:t xml:space="preserve">02343877697</x:t>
  </x:si>
  <x:si>
    <x:t xml:space="preserve">HUEX02N</x:t>
  </x:si>
  <x:si>
    <x:t xml:space="preserve">537231</x:t>
  </x:si>
  <x:si>
    <x:t xml:space="preserve">Thôn La Sơn</x:t>
  </x:si>
  <x:si>
    <x:t xml:space="preserve">02343872850</x:t>
  </x:si>
  <x:si>
    <x:t xml:space="preserve">HUEX02O</x:t>
  </x:si>
  <x:si>
    <x:t xml:space="preserve">537240</x:t>
  </x:si>
  <x:si>
    <x:t xml:space="preserve">Lộc Bổn</x:t>
  </x:si>
  <x:si>
    <x:t xml:space="preserve">Thôn Hòa Mỹ</x:t>
  </x:si>
  <x:si>
    <x:t xml:space="preserve">02343874211</x:t>
  </x:si>
  <x:si>
    <x:t xml:space="preserve">HUEX02P</x:t>
  </x:si>
  <x:si>
    <x:t xml:space="preserve">537250</x:t>
  </x:si>
  <x:si>
    <x:t xml:space="preserve">Lộc Điền</x:t>
  </x:si>
  <x:si>
    <x:t xml:space="preserve">Thôn Sư Lỗ</x:t>
  </x:si>
  <x:si>
    <x:t xml:space="preserve">02343873226</x:t>
  </x:si>
  <x:si>
    <x:t xml:space="preserve">HUEX02Q</x:t>
  </x:si>
  <x:si>
    <x:t xml:space="preserve">537270</x:t>
  </x:si>
  <x:si>
    <x:t xml:space="preserve">Lộc Hòa</x:t>
  </x:si>
  <x:si>
    <x:t xml:space="preserve">02343873333</x:t>
  </x:si>
  <x:si>
    <x:t xml:space="preserve">HUEX02R</x:t>
  </x:si>
  <x:si>
    <x:t xml:space="preserve">537290</x:t>
  </x:si>
  <x:si>
    <x:t xml:space="preserve">Xuân Lộc</x:t>
  </x:si>
  <x:si>
    <x:t xml:space="preserve">0234.3873227</x:t>
  </x:si>
  <x:si>
    <x:t xml:space="preserve">HUEX02S</x:t>
  </x:si>
  <x:si>
    <x:t xml:space="preserve">537310</x:t>
  </x:si>
  <x:si>
    <x:t xml:space="preserve">Lộc Trì</x:t>
  </x:si>
  <x:si>
    <x:t xml:space="preserve">Thôn Cao Đôi Xã</x:t>
  </x:si>
  <x:si>
    <x:t xml:space="preserve">02343871131</x:t>
  </x:si>
  <x:si>
    <x:t xml:space="preserve">HUEX02T</x:t>
  </x:si>
  <x:si>
    <x:t xml:space="preserve">537330</x:t>
  </x:si>
  <x:si>
    <x:t xml:space="preserve">Lộc Thủy</x:t>
  </x:si>
  <x:si>
    <x:t xml:space="preserve">Thôn Phú Cường</x:t>
  </x:si>
  <x:si>
    <x:t xml:space="preserve">02343872293</x:t>
  </x:si>
  <x:si>
    <x:t xml:space="preserve">HUEX02U</x:t>
  </x:si>
  <x:si>
    <x:t xml:space="preserve">535480</x:t>
  </x:si>
  <x:si>
    <x:t xml:space="preserve">Hồng Tiến</x:t>
  </x:si>
  <x:si>
    <x:t xml:space="preserve"> Thôn 2, Xã Hồng Tiến</x:t>
  </x:si>
  <x:si>
    <x:t xml:space="preserve">535480535480</x:t>
  </x:si>
  <x:si>
    <x:t xml:space="preserve">HUEX02V</x:t>
  </x:si>
  <x:si>
    <x:t xml:space="preserve">535730</x:t>
  </x:si>
  <x:si>
    <x:t xml:space="preserve">Bắc Sơn</x:t>
  </x:si>
  <x:si>
    <x:t xml:space="preserve"> Thôn 2, Xã Bắc Sơn</x:t>
  </x:si>
  <x:si>
    <x:t xml:space="preserve">5357305315730</x:t>
  </x:si>
  <x:si>
    <x:t xml:space="preserve">HUEX02W</x:t>
  </x:si>
  <x:si>
    <x:t xml:space="preserve">535770</x:t>
  </x:si>
  <x:si>
    <x:t xml:space="preserve">Hồng Quảng</x:t>
  </x:si>
  <x:si>
    <x:t xml:space="preserve"> Thôn 3, Xã Hồng Quảng</x:t>
  </x:si>
  <x:si>
    <x:t xml:space="preserve">535770535770</x:t>
  </x:si>
  <x:si>
    <x:t xml:space="preserve">HUEX02X</x:t>
  </x:si>
  <x:si>
    <x:t xml:space="preserve">535850</x:t>
  </x:si>
  <x:si>
    <x:t xml:space="preserve">A Đớt</x:t>
  </x:si>
  <x:si>
    <x:t xml:space="preserve"> Thôn Chi Lanh, Xã A Đớt</x:t>
  </x:si>
  <x:si>
    <x:t xml:space="preserve">535850535850</x:t>
  </x:si>
  <x:si>
    <x:t xml:space="preserve">HUEX02Y</x:t>
  </x:si>
  <x:si>
    <x:t xml:space="preserve">536440</x:t>
  </x:si>
  <x:si>
    <x:t xml:space="preserve">Hương Hòa</x:t>
  </x:si>
  <x:si>
    <x:t xml:space="preserve"> Thôn 9, Xã Hương Hoà</x:t>
  </x:si>
  <x:si>
    <x:t xml:space="preserve">536440536440</x:t>
  </x:si>
  <x:si>
    <x:t xml:space="preserve">HUEX02Z</x:t>
  </x:si>
  <x:si>
    <x:t xml:space="preserve">536752</x:t>
  </x:si>
  <x:si>
    <x:t xml:space="preserve">Tân An</x:t>
  </x:si>
  <x:si>
    <x:t xml:space="preserve">Thôn Tân An</x:t>
  </x:si>
  <x:si>
    <x:t xml:space="preserve">536752536752</x:t>
  </x:si>
  <x:si>
    <x:t xml:space="preserve">HUEX030</x:t>
  </x:si>
  <x:si>
    <x:t xml:space="preserve">536910</x:t>
  </x:si>
  <x:si>
    <x:t xml:space="preserve">Vinh Phú</x:t>
  </x:si>
  <x:si>
    <x:t xml:space="preserve"> Thôn Trường Hà, Xã Vinh Phú</x:t>
  </x:si>
  <x:si>
    <x:t xml:space="preserve">HUEX031</x:t>
  </x:si>
  <x:si>
    <x:t xml:space="preserve">537001</x:t>
  </x:si>
  <x:si>
    <x:t xml:space="preserve"> Thôn Trung Hải, Xã Vinh An</x:t>
  </x:si>
  <x:si>
    <x:t xml:space="preserve">HUEX032</x:t>
  </x:si>
  <x:si>
    <x:t xml:space="preserve">537101</x:t>
  </x:si>
  <x:si>
    <x:t xml:space="preserve">Cầu Hai</x:t>
  </x:si>
  <x:si>
    <x:t xml:space="preserve"> Khu Vực IV, Thị Trấn Phú Lộc</x:t>
  </x:si>
  <x:si>
    <x:t xml:space="preserve">537101537101</x:t>
  </x:si>
  <x:si>
    <x:t xml:space="preserve">HUEO000</x:t>
  </x:si>
  <x:si>
    <x:t xml:space="preserve">531106</x:t>
  </x:si>
  <x:si>
    <x:t xml:space="preserve">VP BĐTP Huế</x:t>
  </x:si>
  <x:si>
    <x:t xml:space="preserve">Văn phòng</x:t>
  </x:si>
  <x:si>
    <x:t xml:space="preserve">0234.3820555</x:t>
  </x:si>
  <x:si>
    <x:t xml:space="preserve">O</x:t>
  </x:si>
  <x:si>
    <x:t xml:space="preserve">HUEO001</x:t>
  </x:si>
  <x:si>
    <x:t xml:space="preserve">531130</x:t>
  </x:si>
  <x:si>
    <x:t xml:space="preserve">0543.827878</x:t>
  </x:si>
  <x:si>
    <x:t xml:space="preserve">HUEO002</x:t>
  </x:si>
  <x:si>
    <x:t xml:space="preserve">534907</x:t>
  </x:si>
  <x:si>
    <x:t xml:space="preserve">VP BĐH Phong Điền</x:t>
  </x:si>
  <x:si>
    <x:t xml:space="preserve">0234.3551212</x:t>
  </x:si>
  <x:si>
    <x:t xml:space="preserve">HUEO003</x:t>
  </x:si>
  <x:si>
    <x:t xml:space="preserve">531107</x:t>
  </x:si>
  <x:si>
    <x:t xml:space="preserve">VP TTKT-VC</x:t>
  </x:si>
  <x:si>
    <x:t xml:space="preserve">HUEO004</x:t>
  </x:si>
  <x:si>
    <x:t xml:space="preserve">531598</x:t>
  </x:si>
  <x:si>
    <x:t xml:space="preserve">Kho BĐP Vỹ Dạ</x:t>
  </x:si>
  <x:si>
    <x:t xml:space="preserve">Đường Hàn Mạc Tử</x:t>
  </x:si>
  <x:si>
    <x:t xml:space="preserve">HUEO005</x:t>
  </x:si>
  <x:si>
    <x:t xml:space="preserve">532877</x:t>
  </x:si>
  <x:si>
    <x:t xml:space="preserve">Kho BĐP Kim Long</x:t>
  </x:si>
  <x:si>
    <x:t xml:space="preserve">HUEO006</x:t>
  </x:si>
  <x:si>
    <x:t xml:space="preserve">533292</x:t>
  </x:si>
  <x:si>
    <x:t xml:space="preserve">Kho BĐP Thủy Xuân</x:t>
  </x:si>
  <x:si>
    <x:t xml:space="preserve">Đường Minh Mạng</x:t>
  </x:si>
  <x:si>
    <x:t xml:space="preserve">HUEO007</x:t>
  </x:si>
  <x:si>
    <x:t xml:space="preserve">533673</x:t>
  </x:si>
  <x:si>
    <x:t xml:space="preserve">Kho BĐP An Cựu</x:t>
  </x:si>
  <x:si>
    <x:t xml:space="preserve">Đường Hùng Vương</x:t>
  </x:si>
  <x:si>
    <x:t xml:space="preserve">HUEO008</x:t>
  </x:si>
  <x:si>
    <x:t xml:space="preserve">534301</x:t>
  </x:si>
  <x:si>
    <x:t xml:space="preserve">Kho BĐP Hóa Châu</x:t>
  </x:si>
  <x:si>
    <x:t xml:space="preserve">Thôn Thanh Hà</x:t>
  </x:si>
  <x:si>
    <x:t xml:space="preserve">HUEO009</x:t>
  </x:si>
  <x:si>
    <x:t xml:space="preserve">534320</x:t>
  </x:si>
  <x:si>
    <x:t xml:space="preserve">Kho BĐP Hương Thủy</x:t>
  </x:si>
  <x:si>
    <x:t xml:space="preserve">Tổ 8, Khu Châu Sơn</x:t>
  </x:si>
  <x:si>
    <x:t xml:space="preserve">HUEO00A</x:t>
  </x:si>
  <x:si>
    <x:t xml:space="preserve">534360</x:t>
  </x:si>
  <x:si>
    <x:t xml:space="preserve">Kho BĐP Kim Trà</x:t>
  </x:si>
  <x:si>
    <x:t xml:space="preserve">Thôn Quế Chữ</x:t>
  </x:si>
  <x:si>
    <x:t xml:space="preserve">HUEO00B</x:t>
  </x:si>
  <x:si>
    <x:t xml:space="preserve">534380</x:t>
  </x:si>
  <x:si>
    <x:t xml:space="preserve">Kho BĐP Mỹ Thượng</x:t>
  </x:si>
  <x:si>
    <x:t xml:space="preserve">HUEO00C</x:t>
  </x:si>
  <x:si>
    <x:t xml:space="preserve">534420</x:t>
  </x:si>
  <x:si>
    <x:t xml:space="preserve">Kho BĐP Phong Dinh</x:t>
  </x:si>
  <x:si>
    <x:t xml:space="preserve">HUEO00D</x:t>
  </x:si>
  <x:si>
    <x:t xml:space="preserve">534440</x:t>
  </x:si>
  <x:si>
    <x:t xml:space="preserve">Kho BĐP Phong Quảng</x:t>
  </x:si>
  <x:si>
    <x:t xml:space="preserve">HUEO00E</x:t>
  </x:si>
  <x:si>
    <x:t xml:space="preserve">534460</x:t>
  </x:si>
  <x:si>
    <x:t xml:space="preserve">Kho BĐP Phong Thái</x:t>
  </x:si>
  <x:si>
    <x:t xml:space="preserve">HUEO00F</x:t>
  </x:si>
  <x:si>
    <x:t xml:space="preserve">534480</x:t>
  </x:si>
  <x:si>
    <x:t xml:space="preserve">Kho BĐP Phú Xuân</x:t>
  </x:si>
  <x:si>
    <x:t xml:space="preserve">Đường Đào Duy Anh</x:t>
  </x:si>
  <x:si>
    <x:t xml:space="preserve">HUEO00G</x:t>
  </x:si>
  <x:si>
    <x:t xml:space="preserve">534501</x:t>
  </x:si>
  <x:si>
    <x:t xml:space="preserve">Kho BĐP Thanh Thủy</x:t>
  </x:si>
  <x:si>
    <x:t xml:space="preserve">HUEO00H</x:t>
  </x:si>
  <x:si>
    <x:t xml:space="preserve">534540</x:t>
  </x:si>
  <x:si>
    <x:t xml:space="preserve">Kho BĐX Bình Điền</x:t>
  </x:si>
  <x:si>
    <x:t xml:space="preserve">Thôn Đông Hòa</x:t>
  </x:si>
  <x:si>
    <x:t xml:space="preserve">HUEO00I</x:t>
  </x:si>
  <x:si>
    <x:t xml:space="preserve">534560</x:t>
  </x:si>
  <x:si>
    <x:t xml:space="preserve">Kho BĐX Chân Mây - Lăng Cô</x:t>
  </x:si>
  <x:si>
    <x:t xml:space="preserve">HUEO00J</x:t>
  </x:si>
  <x:si>
    <x:t xml:space="preserve">534580</x:t>
  </x:si>
  <x:si>
    <x:t xml:space="preserve">Kho BĐX Đan Điền</x:t>
  </x:si>
  <x:si>
    <x:t xml:space="preserve">HUEO00K</x:t>
  </x:si>
  <x:si>
    <x:t xml:space="preserve">534612</x:t>
  </x:si>
  <x:si>
    <x:t xml:space="preserve">VP BĐH Quảng Điền</x:t>
  </x:si>
  <x:si>
    <x:t xml:space="preserve">Đường Nguyễn Kim Thành</x:t>
  </x:si>
  <x:si>
    <x:t xml:space="preserve">02343554231</x:t>
  </x:si>
  <x:si>
    <x:t xml:space="preserve">HUEO00L</x:t>
  </x:si>
  <x:si>
    <x:t xml:space="preserve">534959</x:t>
  </x:si>
  <x:si>
    <x:t xml:space="preserve">Kho BĐP Phong Phú</x:t>
  </x:si>
  <x:si>
    <x:t xml:space="preserve">Thôn Nhất Đông</x:t>
  </x:si>
  <x:si>
    <x:t xml:space="preserve">HUEO00M</x:t>
  </x:si>
  <x:si>
    <x:t xml:space="preserve">535319</x:t>
  </x:si>
  <x:si>
    <x:t xml:space="preserve">VP BĐH Hương Trà</x:t>
  </x:si>
  <x:si>
    <x:t xml:space="preserve">02343557235</x:t>
  </x:si>
  <x:si>
    <x:t xml:space="preserve">HUEO00N</x:t>
  </x:si>
  <x:si>
    <x:t xml:space="preserve">535538</x:t>
  </x:si>
  <x:si>
    <x:t xml:space="preserve">Kho BĐP Hương An</x:t>
  </x:si>
  <x:si>
    <x:t xml:space="preserve">Thôn An Lưu</x:t>
  </x:si>
  <x:si>
    <x:t xml:space="preserve">HUEO00O</x:t>
  </x:si>
  <x:si>
    <x:t xml:space="preserve">535712</x:t>
  </x:si>
  <x:si>
    <x:t xml:space="preserve">VP BĐH A Lưới</x:t>
  </x:si>
  <x:si>
    <x:t xml:space="preserve">0234.3878216</x:t>
  </x:si>
  <x:si>
    <x:t xml:space="preserve">HUEO00P</x:t>
  </x:si>
  <x:si>
    <x:t xml:space="preserve">536327</x:t>
  </x:si>
  <x:si>
    <x:t xml:space="preserve">VP BĐTX Hương Thủy</x:t>
  </x:si>
  <x:si>
    <x:t xml:space="preserve">0234.386321</x:t>
  </x:si>
  <x:si>
    <x:t xml:space="preserve">HUEO00Q</x:t>
  </x:si>
  <x:si>
    <x:t xml:space="preserve">536408</x:t>
  </x:si>
  <x:si>
    <x:t xml:space="preserve">VP BĐH Nam Đông</x:t>
  </x:si>
  <x:si>
    <x:t xml:space="preserve">192 Khu vực II</x:t>
  </x:si>
  <x:si>
    <x:t xml:space="preserve">02343875312</x:t>
  </x:si>
  <x:si>
    <x:t xml:space="preserve">HUEO00R</x:t>
  </x:si>
  <x:si>
    <x:t xml:space="preserve">536409</x:t>
  </x:si>
  <x:si>
    <x:t xml:space="preserve">Kho BĐX Khe Tre</x:t>
  </x:si>
  <x:si>
    <x:t xml:space="preserve">Khu Vực I</x:t>
  </x:si>
  <x:si>
    <x:t xml:space="preserve">HUEO00S</x:t>
  </x:si>
  <x:si>
    <x:t xml:space="preserve">536774</x:t>
  </x:si>
  <x:si>
    <x:t xml:space="preserve">Kho BĐP Thuận An</x:t>
  </x:si>
  <x:si>
    <x:t xml:space="preserve">HUEO00T</x:t>
  </x:si>
  <x:si>
    <x:t xml:space="preserve">536788</x:t>
  </x:si>
  <x:si>
    <x:t xml:space="preserve">Kho BĐP Dương Nỗ</x:t>
  </x:si>
  <x:si>
    <x:t xml:space="preserve">HUEO00U</x:t>
  </x:si>
  <x:si>
    <x:t xml:space="preserve">536839</x:t>
  </x:si>
  <x:si>
    <x:t xml:space="preserve">Kho BĐX Phú Hồ</x:t>
  </x:si>
  <x:si>
    <x:t xml:space="preserve">Thôn Sư Lỗ Đông</x:t>
  </x:si>
  <x:si>
    <x:t xml:space="preserve">HUEO00V</x:t>
  </x:si>
  <x:si>
    <x:t xml:space="preserve">536879</x:t>
  </x:si>
  <x:si>
    <x:t xml:space="preserve">VP BĐH Phú Vang</x:t>
  </x:si>
  <x:si>
    <x:t xml:space="preserve">0234.3868348</x:t>
  </x:si>
  <x:si>
    <x:t xml:space="preserve">HUEO00W</x:t>
  </x:si>
  <x:si>
    <x:t xml:space="preserve">537217</x:t>
  </x:si>
  <x:si>
    <x:t xml:space="preserve">Kho BĐX Lộc An</x:t>
  </x:si>
  <x:si>
    <x:t xml:space="preserve">Thôn An Lại</x:t>
  </x:si>
  <x:si>
    <x:t xml:space="preserve">HUEO00X</x:t>
  </x:si>
  <x:si>
    <x:t xml:space="preserve">537423</x:t>
  </x:si>
  <x:si>
    <x:t xml:space="preserve">VP BĐH Phú Lộc</x:t>
  </x:si>
  <x:si>
    <x:t xml:space="preserve">HUEO00Y</x:t>
  </x:si>
  <x:si>
    <x:t xml:space="preserve">537501</x:t>
  </x:si>
  <x:si>
    <x:t xml:space="preserve">Kho BĐX Hưng Lộc</x:t>
  </x:si>
  <x:si>
    <x:t xml:space="preserve">HUEO00Z</x:t>
  </x:si>
  <x:si>
    <x:t xml:space="preserve">537580</x:t>
  </x:si>
  <x:si>
    <x:t xml:space="preserve">Kho BĐX Phú Vinh</x:t>
  </x:si>
  <x:si>
    <x:t xml:space="preserve">HUEO010</x:t>
  </x:si>
  <x:si>
    <x:t xml:space="preserve">537620</x:t>
  </x:si>
  <x:si>
    <x:t xml:space="preserve">Kho BĐX Vinh Lộc</x:t>
  </x:si>
  <x:si>
    <x:t xml:space="preserve">HUEO011</x:t>
  </x:si>
  <x:si>
    <x:t xml:space="preserve">537680</x:t>
  </x:si>
  <x:si>
    <x:t xml:space="preserve">Kho BĐX A Lưới 3</x:t>
  </x:si>
  <x:si>
    <x:t xml:space="preserve">VP</x:t>
  </x:si>
  <x:si>
    <x:t xml:space="preserve">Node Code</x:t>
  </x:si>
  <x:si>
    <x:t xml:space="preserve">Node Name</x:t>
  </x:si>
  <x:si>
    <x:t xml:space="preserve">Node Type</x:t>
  </x:si>
  <x:si>
    <x:t xml:space="preserve">province-city</x:t>
  </x:si>
  <x:si>
    <x:t xml:space="preserve">Ward/community</x:t>
  </x:si>
  <x:si>
    <x:t xml:space="preserve">lon lat</x:t>
  </x:si>
  <x:si>
    <x:t xml:space="preserve">Detailed address</x:t>
  </x:si>
  <x:si>
    <x:t xml:space="preserve">Ownership Organization</x:t>
  </x:si>
  <x:si>
    <x:t xml:space="preserve">Contact person</x:t>
  </x:si>
  <x:si>
    <x:t xml:space="preserve">Contact Phone</x:t>
  </x:si>
  <x:si>
    <x:t xml:space="preserve">Status</x:t>
  </x:si>
  <x:si>
    <x:t xml:space="preserve">Geo Fence Type</x:t>
  </x:si>
  <x:si>
    <x:t xml:space="preserve">Radius</x:t>
  </x:si>
  <x:si>
    <x:t xml:space="preserve">Polygon</x:t>
  </x:si>
  <x:si>
    <x:t xml:space="preserve">Unique identification code</x:t>
  </x:si>
  <x:si>
    <x:t xml:space="preserve">Display name</x:t>
  </x:si>
  <x:si>
    <x:t xml:space="preserve">Type/Category classification</x:t>
  </x:si>
  <x:si>
    <x:t xml:space="preserve">Province/City</x:t>
  </x:si>
  <x:si>
    <x:t xml:space="preserve">Ward/Community administrative area</x:t>
  </x:si>
  <x:si>
    <x:t xml:space="preserve">Longitude and latitude coordinates</x:t>
  </x:si>
  <x:si>
    <x:t xml:space="preserve">Physical address</x:t>
  </x:si>
  <x:si>
    <x:t xml:space="preserve">Ownership organization</x:t>
  </x:si>
  <x:si>
    <x:t xml:space="preserve">Name of the contact person</x:t>
  </x:si>
  <x:si>
    <x:t xml:space="preserve">Phone number of the contact person</x:t>
  </x:si>
  <x:si>
    <x:t xml:space="preserve">Current status (Enabled/Disabled)</x:t>
  </x:si>
  <x:si>
    <x:t xml:space="preserve">If a circle is selected, it represents the radius of the circle</x:t>
  </x:si>
  <x:si>
    <x:t xml:space="preserve">If it is a polygon, users can draw the polygon themselves and save it as geoJson</x:t>
  </x:si>
  <x:si>
    <x:t xml:space="preserve">Autogenous</x:t>
  </x:si>
  <x:si>
    <x:t xml:space="preserve">TEXT
Mandatory</x:t>
  </x:si>
  <x:si>
    <x:t xml:space="preserve">LIST
Mandatory
VNP Warehouse
Sorting center
Post Office
Pickup Point/Locker
Import/Export Warehouse
Airport/Port
Customer Location</x:t>
  </x:si>
  <x:si>
    <x:t xml:space="preserve">LIST
Mandatory</x:t>
  </x:si>
  <x:si>
    <x:t xml:space="preserve">TEXT</x:t>
  </x:si>
  <x:si>
    <x:t xml:space="preserve">LIST
Mandatory
Enabled、 Disabled</x:t>
  </x:si>
  <x:si>
    <x:t xml:space="preserve">LIST
Circle、Polygon、Customer Area</x:t>
  </x:si>
  <x:si>
    <x:t xml:space="preserve">Geojson</x:t>
  </x:si>
  <x:si>
    <x:t xml:space="preserve">Node Code
Mã trạm (hoặc Mã điểm luân chuyển)</x:t>
  </x:si>
  <x:si>
    <x:t xml:space="preserve">Node Name
Tên trạm</x:t>
  </x:si>
  <x:si>
    <x:t xml:space="preserve">Node Type
Loại trạm</x:t>
  </x:si>
  <x:si>
    <x:t xml:space="preserve">province-city
Tỉnh / Thành phố</x:t>
  </x:si>
  <x:si>
    <x:t xml:space="preserve">Ward/community
Phường / Xã</x:t>
  </x:si>
  <x:si>
    <x:t xml:space="preserve">Detailed address
Địa chỉ chi tiết</x:t>
  </x:si>
  <x:si>
    <x:t xml:space="preserve">Ownership Organization
Đơn vị chủ quản (hoặc Tổ chức sở hữu)</x:t>
  </x:si>
  <x:si>
    <x:t xml:space="preserve">Contact person
Người liên hệ</x:t>
  </x:si>
  <x:si>
    <x:t xml:space="preserve">Contact Phone
Số điện thoại liên hệ</x:t>
  </x:si>
  <x:si>
    <x:t xml:space="preserve">Status
Trạng thái</x:t>
  </x:si>
  <x:si>
    <x:t xml:space="preserve">Geo Fence Type
Loại hàng rào địa lý (hoặc Loại Geofence)</x:t>
  </x:si>
  <x:si>
    <x:t xml:space="preserve">Radius
Bán kính</x:t>
  </x:si>
  <x:si>
    <x:t xml:space="preserve">Polygon
Đa giác</x:t>
  </x:si>
  <x:si>
    <x:t xml:space="preserve">107.4732064,16.65317456</x:t>
  </x:si>
  <x:si>
    <x:t xml:space="preserve">Phạm Thị Kính</x:t>
  </x:si>
  <x:si>
    <x:t xml:space="preserve">Circle</x:t>
  </x:si>
  <x:si>
    <x:t xml:space="preserve">107.699951540583,16.3975615958594</x:t>
  </x:si>
  <x:si>
    <x:t xml:space="preserve">VĂN THỊ THANH PHƯƠNG</x:t>
  </x:si>
  <x:si>
    <x:t xml:space="preserve">107.597935092816,16.4945716186257</x:t>
  </x:si>
  <x:si>
    <x:t xml:space="preserve">PHAN THỊ HOÀI PHƯƠNG</x:t>
  </x:si>
  <x:si>
    <x:t xml:space="preserve">107.681823728944,16.4806181410395</x:t>
  </x:si>
  <x:si>
    <x:t xml:space="preserve">NGUYỄN VĂN TUẤN</x:t>
  </x:si>
  <x:si>
    <x:t xml:space="preserve">107.599528020038,16.4670710722434</x:t>
  </x:si>
  <x:si>
    <x:t xml:space="preserve">VÕ KHẮC QUÝ</x:t>
  </x:si>
  <x:si>
    <x:t xml:space="preserve">107.596019360395,16.479609818948</x:t>
  </x:si>
  <x:si>
    <x:t xml:space="preserve">107.596236607452,16.4830332908594</x:t>
  </x:si>
  <x:si>
    <x:t xml:space="preserve">106.674438345648,10.8079230948855</x:t>
  </x:si>
  <x:si>
    <x:t xml:space="preserve">TÔN NỮ KIỀU NGA</x:t>
  </x:si>
  <x:si>
    <x:t xml:space="preserve">107.888440291591,16.3684953162197</x:t>
  </x:si>
  <x:si>
    <x:t xml:space="preserve">NGÔ QUỲNH HOA</x:t>
  </x:si>
  <x:si>
    <x:t xml:space="preserve">107.5904001,16.46485889</x:t>
  </x:si>
  <x:si>
    <x:t xml:space="preserve">Phạm Thị Thanh Uyên</x:t>
  </x:si>
  <x:si>
    <x:t xml:space="preserve">107.5115291,16.57465411</x:t>
  </x:si>
  <x:si>
    <x:t xml:space="preserve">LÊ THỊ THÙY TRANG</x:t>
  </x:si>
  <x:si>
    <x:t xml:space="preserve">107.3644227,16.58217964</x:t>
  </x:si>
  <x:si>
    <x:t xml:space="preserve">Lê Thị Thanh Doan</x:t>
  </x:si>
  <x:si>
    <x:t xml:space="preserve">107.4761979,16.52520796</x:t>
  </x:si>
  <x:si>
    <x:t xml:space="preserve">TRẦN VĂN TẤN</x:t>
  </x:si>
  <x:si>
    <x:t xml:space="preserve">107.2319162,16.27355879</x:t>
  </x:si>
  <x:si>
    <x:t xml:space="preserve">NGUYỄN VĂN TIẾN</x:t>
  </x:si>
  <x:si>
    <x:t xml:space="preserve">107.6736411,16.41174736</x:t>
  </x:si>
  <x:si>
    <x:t xml:space="preserve">107.7186032,16.16766284</x:t>
  </x:si>
  <x:si>
    <x:t xml:space="preserve">NGUYỄN THỊ HẰNG</x:t>
  </x:si>
  <x:si>
    <x:t xml:space="preserve">107.7145004,16.44638613</x:t>
  </x:si>
  <x:si>
    <x:t xml:space="preserve">LÊ THỊ HẢI YẾN</x:t>
  </x:si>
  <x:si>
    <x:t xml:space="preserve">107.859998259455,16.2803534504623</x:t>
  </x:si>
  <x:si>
    <x:t xml:space="preserve">ĐOÀN THỊ KHÁNH MỸ</x:t>
  </x:si>
  <x:si>
    <x:t xml:space="preserve">107.584734388574,16.4618749932253</x:t>
  </x:si>
  <x:si>
    <x:t xml:space="preserve">LÊ THỊ PHƯƠNG THỦY</x:t>
  </x:si>
  <x:si>
    <x:t xml:space="preserve">107.590361744488,16.4648889303289</x:t>
  </x:si>
  <x:si>
    <x:t xml:space="preserve">107.5861694,16.46970258</x:t>
  </x:si>
  <x:si>
    <x:t xml:space="preserve">107.5835337,16.47727333</x:t>
  </x:si>
  <x:si>
    <x:t xml:space="preserve">107.5683175,16.472913</x:t>
  </x:si>
  <x:si>
    <x:t xml:space="preserve">107.5602726,16.45802966</x:t>
  </x:si>
  <x:si>
    <x:t xml:space="preserve">DƯƠNG THỊ HÒE</x:t>
  </x:si>
  <x:si>
    <x:t xml:space="preserve">107.5558025,16.48166481</x:t>
  </x:si>
  <x:si>
    <x:t xml:space="preserve">PHẠM THỊ KHÁNH LOAN</x:t>
  </x:si>
  <x:si>
    <x:t xml:space="preserve">107.5494669,16.60910028</x:t>
  </x:si>
  <x:si>
    <x:t xml:space="preserve">CAO THỊ MINH HẢI</x:t>
  </x:si>
  <x:si>
    <x:t xml:space="preserve">107.4478192,16.66588393</x:t>
  </x:si>
  <x:si>
    <x:t xml:space="preserve">PHẠM THỊ KÍNH</x:t>
  </x:si>
  <x:si>
    <x:t xml:space="preserve">107.362093,16.5070219</x:t>
  </x:si>
  <x:si>
    <x:t xml:space="preserve">107.4526107,16.5468176</x:t>
  </x:si>
  <x:si>
    <x:t xml:space="preserve">THÂN THỊ THỤY VŨ</x:t>
  </x:si>
  <x:si>
    <x:t xml:space="preserve">107.5048768,16.35059752</x:t>
  </x:si>
  <x:si>
    <x:t xml:space="preserve">HỒ THỊ THANH BÌNH</x:t>
  </x:si>
  <x:si>
    <x:t xml:space="preserve">107.2702825,16.23597288</x:t>
  </x:si>
  <x:si>
    <x:t xml:space="preserve">ĐOÀN MINH NHĨ</x:t>
  </x:si>
  <x:si>
    <x:t xml:space="preserve">107.6208807,16.44103784</x:t>
  </x:si>
  <x:si>
    <x:t xml:space="preserve">DƯƠNG THỊ DIỆU LÀNH</x:t>
  </x:si>
  <x:si>
    <x:t xml:space="preserve">107.701626,16.52431551</x:t>
  </x:si>
  <x:si>
    <x:t xml:space="preserve">TRẦN THỊ VI</x:t>
  </x:si>
  <x:si>
    <x:t xml:space="preserve">107.6395865,16.54790068</x:t>
  </x:si>
  <x:si>
    <x:t xml:space="preserve">Nguyễn Thị Đoan Trang</x:t>
  </x:si>
  <x:si>
    <x:t xml:space="preserve">107.599643,16.5035321</x:t>
  </x:si>
  <x:si>
    <x:t xml:space="preserve">107.768203283639,16.3924073902549</x:t>
  </x:si>
  <x:si>
    <x:t xml:space="preserve">107.749618604685,16.4875930900034</x:t>
  </x:si>
  <x:si>
    <x:t xml:space="preserve">NGUYỄN VĂN RIN</x:t>
  </x:si>
  <x:si>
    <x:t xml:space="preserve">107.8085477,16.410846</x:t>
  </x:si>
  <x:si>
    <x:t xml:space="preserve">108.004765,16.30758249</x:t>
  </x:si>
  <x:si>
    <x:t xml:space="preserve">Lê Thị Diễm</x:t>
  </x:si>
  <x:si>
    <x:t xml:space="preserve">107.8908936,16.3478062</x:t>
  </x:si>
  <x:si>
    <x:t xml:space="preserve">107.8416467,16.37408456</x:t>
  </x:si>
  <x:si>
    <x:t xml:space="preserve">107.746396,16.33512767</x:t>
  </x:si>
  <x:si>
    <x:t xml:space="preserve">LÊ THỊ HẰNG</x:t>
  </x:si>
  <x:si>
    <x:t xml:space="preserve">107.9909899,16.27156693</x:t>
  </x:si>
  <x:si>
    <x:t xml:space="preserve">Lại Quốc Độ</x:t>
  </x:si>
  <x:si>
    <x:t xml:space="preserve">108.0817791,16.23602194</x:t>
  </x:si>
  <x:si>
    <x:t xml:space="preserve">107.688858973105,16.3837080161244</x:t>
  </x:si>
  <x:si>
    <x:t xml:space="preserve">Trần Văn Hải</x:t>
  </x:si>
  <x:si>
    <x:t xml:space="preserve">107.590369869917,16.4648867039695</x:t>
  </x:si>
  <x:si>
    <x:t xml:space="preserve">107.590995934899,16.4615125722067</x:t>
  </x:si>
  <x:si>
    <x:t xml:space="preserve">107.594419049323,16.4707404016886</x:t>
  </x:si>
  <x:si>
    <x:t xml:space="preserve">107.594543285314,16.4709945630545</x:t>
  </x:si>
  <x:si>
    <x:t xml:space="preserve">107.596241274009,16.4817551929892</x:t>
  </x:si>
  <x:si>
    <x:t xml:space="preserve">107.601837328985,16.4781141796924</x:t>
  </x:si>
  <x:si>
    <x:t xml:space="preserve">107.581871614873,16.4926706950063</x:t>
  </x:si>
  <x:si>
    <x:t xml:space="preserve">107.576638099691,16.4747829350371</x:t>
  </x:si>
  <x:si>
    <x:t xml:space="preserve">107.578327997799,16.4565881373454</x:t>
  </x:si>
  <x:si>
    <x:t xml:space="preserve">107.555425254238,16.4507051379422</x:t>
  </x:si>
  <x:si>
    <x:t xml:space="preserve">107.586902366362,16.4507226222191</x:t>
  </x:si>
  <x:si>
    <x:t xml:space="preserve">107.588966400825,16.4510322930698</x:t>
  </x:si>
  <x:si>
    <x:t xml:space="preserve">107.603787630295,16.4513840270757</x:t>
  </x:si>
  <x:si>
    <x:t xml:space="preserve">107.601584791815,16.4530899429556</x:t>
  </x:si>
  <x:si>
    <x:t xml:space="preserve">NGUYỄN BÁ TRÀ MI</x:t>
  </x:si>
  <x:si>
    <x:t xml:space="preserve">107.558181340755,16.5313230571887</x:t>
  </x:si>
  <x:si>
    <x:t xml:space="preserve">Trần Thị Thanh Thủy</x:t>
  </x:si>
  <x:si>
    <x:t xml:space="preserve">107.475963154093,16.5249699219938</x:t>
  </x:si>
  <x:si>
    <x:t xml:space="preserve">105 Cách Mạng Tháng 8, phường Hương Trà</x:t>
  </x:si>
  <x:si>
    <x:t xml:space="preserve">Trần Thuận</x:t>
  </x:si>
  <x:si>
    <x:t xml:space="preserve">107.498240648724,16.5116370318013</x:t>
  </x:si>
  <x:si>
    <x:t xml:space="preserve">TRẦN THỊ THÚY PHƯƠNG</x:t>
  </x:si>
  <x:si>
    <x:t xml:space="preserve">107.69989514311,16.3895922770709</x:t>
  </x:si>
  <x:si>
    <x:t xml:space="preserve">107.658810858383,16.4132254951765</x:t>
  </x:si>
  <x:si>
    <x:t xml:space="preserve">Phạm Thị Thuyền Linh</x:t>
  </x:si>
  <x:si>
    <x:t xml:space="preserve">Trần Tuấn Cường</x:t>
  </x:si>
  <x:si>
    <x:t xml:space="preserve">107.639606388278,16.5478132380597</x:t>
  </x:si>
  <x:si>
    <x:t xml:space="preserve">NGUYỄN THANH THÌN</x:t>
  </x:si>
  <x:si>
    <x:t xml:space="preserve">107.738122935662,16.4293007377797</x:t>
  </x:si>
  <x:si>
    <x:t xml:space="preserve">107.770195327579,16.3242048080411</x:t>
  </x:si>
  <x:si>
    <x:t xml:space="preserve">NGUYỄN CAO LĨNH</x:t>
  </x:si>
  <x:si>
    <x:t xml:space="preserve">107.585764140621,16.4630087252232</x:t>
  </x:si>
  <x:si>
    <x:t xml:space="preserve">107.587095135629,16.4644707680792</x:t>
  </x:si>
  <x:si>
    <x:t xml:space="preserve">107.592804019957,16.4655148306271</x:t>
  </x:si>
  <x:si>
    <x:t xml:space="preserve">107.589771555383,16.4662322441518</x:t>
  </x:si>
  <x:si>
    <x:t xml:space="preserve">107.570514921276,16.3875076862482</x:t>
  </x:si>
  <x:si>
    <x:t xml:space="preserve">107.233943936583,16.2700731488837</x:t>
  </x:si>
  <x:si>
    <x:t xml:space="preserve">107.313664502104,16.1729140256758</x:t>
  </x:si>
  <x:si>
    <x:t xml:space="preserve">107.700091969722,16.3975601862286</x:t>
  </x:si>
  <x:si>
    <x:t xml:space="preserve">107.636533067089,16.4315836039942</x:t>
  </x:si>
  <x:si>
    <x:t xml:space="preserve">NGUYỄN THỊ PHƯƠNG</x:t>
  </x:si>
  <x:si>
    <x:t xml:space="preserve">107.681777810209,16.4806373210436</x:t>
  </x:si>
  <x:si>
    <x:t xml:space="preserve">108.011128390931,16.2762155020512</x:t>
  </x:si>
  <x:si>
    <x:t xml:space="preserve">Hồ Quang Vũ</x:t>
  </x:si>
  <x:si>
    <x:t xml:space="preserve">107.511480822864,16.5746300293337</x:t>
  </x:si>
  <x:si>
    <x:t xml:space="preserve">107.364443316674,16.5821419703036</x:t>
  </x:si>
  <x:si>
    <x:t xml:space="preserve">107.475963593275,16.5249405471956</x:t>
  </x:si>
  <x:si>
    <x:t xml:space="preserve">107.231889912162,16.2736382189923</x:t>
  </x:si>
  <x:si>
    <x:t xml:space="preserve">Hồ Thị Mỹ Trinh</x:t>
  </x:si>
  <x:si>
    <x:t xml:space="preserve">107.67358099555,16.4117269209322</x:t>
  </x:si>
  <x:si>
    <x:t xml:space="preserve">107.682627226837,16.1279322474207</x:t>
  </x:si>
  <x:si>
    <x:t xml:space="preserve">Nguyễn Thanh Phúc</x:t>
  </x:si>
  <x:si>
    <x:t xml:space="preserve">107.714418317865,16.4464380808308</x:t>
  </x:si>
  <x:si>
    <x:t xml:space="preserve">107.860034879957,16.2803428466448</x:t>
  </x:si>
  <x:si>
    <x:t xml:space="preserve">Huỳnh Thu Lân</x:t>
  </x:si>
  <x:si>
    <x:t xml:space="preserve">107.597967075279,16.5092325898865</x:t>
  </x:si>
  <x:si>
    <x:t xml:space="preserve">Lê Thị Thành</x:t>
  </x:si>
  <x:si>
    <x:t xml:space="preserve">107.547617528269,16.4857877305529</x:t>
  </x:si>
  <x:si>
    <x:t xml:space="preserve">107.5642877,16.49518491</x:t>
  </x:si>
  <x:si>
    <x:t xml:space="preserve">107.5444948,16.4633852</x:t>
  </x:si>
  <x:si>
    <x:t xml:space="preserve">107.5439279,16.44476256</x:t>
  </x:si>
  <x:si>
    <x:t xml:space="preserve">NGUYỄN HUYỀN TRANG</x:t>
  </x:si>
  <x:si>
    <x:t xml:space="preserve">107.5802111,16.43183885</x:t>
  </x:si>
  <x:si>
    <x:t xml:space="preserve">107.61128,16.45914444</x:t>
  </x:si>
  <x:si>
    <x:t xml:space="preserve">107.5199895,16.57390577</x:t>
  </x:si>
  <x:si>
    <x:t xml:space="preserve">107.507654,16.63247699</x:t>
  </x:si>
  <x:si>
    <x:t xml:space="preserve">107.496559,16.59625599</x:t>
  </x:si>
  <x:si>
    <x:t xml:space="preserve">TRẦN THỊ KIM ANH</x:t>
  </x:si>
  <x:si>
    <x:t xml:space="preserve">107.431635,16.629255</x:t>
  </x:si>
  <x:si>
    <x:t xml:space="preserve">107.4967295,16.56064421</x:t>
  </x:si>
  <x:si>
    <x:t xml:space="preserve">107.4936113,16.5275942</x:t>
  </x:si>
  <x:si>
    <x:t xml:space="preserve">107.5259188,16.54026793</x:t>
  </x:si>
  <x:si>
    <x:t xml:space="preserve">107.5483666,16.5475723</x:t>
  </x:si>
  <x:si>
    <x:t xml:space="preserve">107.56927,16.54118379</x:t>
  </x:si>
  <x:si>
    <x:t xml:space="preserve">107.453248,16.5547335</x:t>
  </x:si>
  <x:si>
    <x:t xml:space="preserve">107.3828951,16.66081772</x:t>
  </x:si>
  <x:si>
    <x:t xml:space="preserve">NGUYỄN THỊ PHƯỢNG</x:t>
  </x:si>
  <x:si>
    <x:t xml:space="preserve">107.412976,16.68279703</x:t>
  </x:si>
  <x:si>
    <x:t xml:space="preserve">107.4766204,16.6689626</x:t>
  </x:si>
  <x:si>
    <x:t xml:space="preserve">107.3901926,16.69314093</x:t>
  </x:si>
  <x:si>
    <x:t xml:space="preserve">107.3515454,16.58701251</x:t>
  </x:si>
  <x:si>
    <x:t xml:space="preserve">NGUYỄN THỊ MINH TÂM</x:t>
  </x:si>
  <x:si>
    <x:t xml:space="preserve">107.3249155,16.65847009</x:t>
  </x:si>
  <x:si>
    <x:t xml:space="preserve">107.3323302,16.67031741</x:t>
  </x:si>
  <x:si>
    <x:t xml:space="preserve">107.3617405,16.70547513</x:t>
  </x:si>
  <x:si>
    <x:t xml:space="preserve">107.3184691,16.52330967</x:t>
  </x:si>
  <x:si>
    <x:t xml:space="preserve">TRẦN QUỐC HUY</x:t>
  </x:si>
  <x:si>
    <x:t xml:space="preserve">107.4427311,16.53390423</x:t>
  </x:si>
  <x:si>
    <x:t xml:space="preserve">CAO THỊ HUYỀN</x:t>
  </x:si>
  <x:si>
    <x:t xml:space="preserve">107.4067144,16.49322842</x:t>
  </x:si>
  <x:si>
    <x:t xml:space="preserve">Lê Thị Kim</x:t>
  </x:si>
  <x:si>
    <x:t xml:space="preserve">107.5349839,16.5140435</x:t>
  </x:si>
  <x:si>
    <x:t xml:space="preserve">DƯƠNG THỊ QUỲNH NHI</x:t>
  </x:si>
  <x:si>
    <x:t xml:space="preserve">107.580247,16.55424288</x:t>
  </x:si>
  <x:si>
    <x:t xml:space="preserve">PHAN DUY VŨ</x:t>
  </x:si>
  <x:si>
    <x:t xml:space="preserve">107.5711477,16.50953315</x:t>
  </x:si>
  <x:si>
    <x:t xml:space="preserve">NGUYỄN HỒNG LAN</x:t>
  </x:si>
  <x:si>
    <x:t xml:space="preserve">107.6010136,16.58023491</x:t>
  </x:si>
  <x:si>
    <x:t xml:space="preserve">HUỲNH THỊ KHÁNH HẠNH</x:t>
  </x:si>
  <x:si>
    <x:t xml:space="preserve">107.4397218,16.5086052</x:t>
  </x:si>
  <x:si>
    <x:t xml:space="preserve">107.4939038,16.51391915</x:t>
  </x:si>
  <x:si>
    <x:t xml:space="preserve">107.5017927,16.51774738</x:t>
  </x:si>
  <x:si>
    <x:t xml:space="preserve">107.4818557,16.39446059</x:t>
  </x:si>
  <x:si>
    <x:t xml:space="preserve">107.5258681,16.35242389</x:t>
  </x:si>
  <x:si>
    <x:t xml:space="preserve">107.5180482,16.48604875</x:t>
  </x:si>
  <x:si>
    <x:t xml:space="preserve">107.5200644,16.46613132</x:t>
  </x:si>
  <x:si>
    <x:t xml:space="preserve">107.5326741,16.44973928</x:t>
  </x:si>
  <x:si>
    <x:t xml:space="preserve">107.5676591,16.38375672</x:t>
  </x:si>
  <x:si>
    <x:t xml:space="preserve">107.2117527,16.29766267</x:t>
  </x:si>
  <x:si>
    <x:t xml:space="preserve">107.17007,16.33095833</x:t>
  </x:si>
  <x:si>
    <x:t xml:space="preserve">107.1363303,16.35386542</x:t>
  </x:si>
  <x:si>
    <x:t xml:space="preserve">107.2047248,16.27598238</x:t>
  </x:si>
  <x:si>
    <x:t xml:space="preserve">107.2146602,16.24270065</x:t>
  </x:si>
  <x:si>
    <x:t xml:space="preserve">107.2393566,16.2355481</x:t>
  </x:si>
  <x:si>
    <x:t xml:space="preserve">107.2621004,16.2300846</x:t>
  </x:si>
  <x:si>
    <x:t xml:space="preserve">107.3268715,16.11279518</x:t>
  </x:si>
  <x:si>
    <x:t xml:space="preserve">107.2420508,16.25947312</x:t>
  </x:si>
  <x:si>
    <x:t xml:space="preserve">107.255084,16.24818377</x:t>
  </x:si>
  <x:si>
    <x:t xml:space="preserve">107.2762504,16.22333073</x:t>
  </x:si>
  <x:si>
    <x:t xml:space="preserve">107.3084959,16.17967533</x:t>
  </x:si>
  <x:si>
    <x:t xml:space="preserve">Phạm Văn Tiến</x:t>
  </x:si>
  <x:si>
    <x:t xml:space="preserve">107.3501063,16.11205669</x:t>
  </x:si>
  <x:si>
    <x:t xml:space="preserve">107.3977968,16.11352999</x:t>
  </x:si>
  <x:si>
    <x:t xml:space="preserve">107.335912,16.30102177</x:t>
  </x:si>
  <x:si>
    <x:t xml:space="preserve">107.3866645,16.30476579</x:t>
  </x:si>
  <x:si>
    <x:t xml:space="preserve">107.0496051,16.3811421</x:t>
  </x:si>
  <x:si>
    <x:t xml:space="preserve">107.7146575,16.40460438</x:t>
  </x:si>
  <x:si>
    <x:t xml:space="preserve">107.695935,16.41764056</x:t>
  </x:si>
  <x:si>
    <x:t xml:space="preserve">107.6676982,16.42006199</x:t>
  </x:si>
  <x:si>
    <x:t xml:space="preserve">107.643587,16.46609488</x:t>
  </x:si>
  <x:si>
    <x:t xml:space="preserve">Nguyễn Thị Phương</x:t>
  </x:si>
  <x:si>
    <x:t xml:space="preserve">107.605902,16.48335742</x:t>
  </x:si>
  <x:si>
    <x:t xml:space="preserve">107.6356419,16.43252764</x:t>
  </x:si>
  <x:si>
    <x:t xml:space="preserve">107.5803352,16.3945898</x:t>
  </x:si>
  <x:si>
    <x:t xml:space="preserve">107.6236756,16.32731524</x:t>
  </x:si>
  <x:si>
    <x:t xml:space="preserve">107.6701891,16.33241897</x:t>
  </x:si>
  <x:si>
    <x:t xml:space="preserve">107.7183577,16.3760167</x:t>
  </x:si>
  <x:si>
    <x:t xml:space="preserve">107.7267984,16.18724279</x:t>
  </x:si>
  <x:si>
    <x:t xml:space="preserve">107.682005,16.17387193</x:t>
  </x:si>
  <x:si>
    <x:t xml:space="preserve">TRẦN THỊ TRÂM ANH</x:t>
  </x:si>
  <x:si>
    <x:t xml:space="preserve">107.6834012,16.12983217</x:t>
  </x:si>
  <x:si>
    <x:t xml:space="preserve">107.6671086,16.12671269</x:t>
  </x:si>
  <x:si>
    <x:t xml:space="preserve">107.6299736,16.12332603</x:t>
  </x:si>
  <x:si>
    <x:t xml:space="preserve">107.6526126,16.11423222</x:t>
  </x:si>
  <x:si>
    <x:t xml:space="preserve">107.6843414,16.12597414</x:t>
  </x:si>
  <x:si>
    <x:t xml:space="preserve">107.7257511,16.15031476</x:t>
  </x:si>
  <x:si>
    <x:t xml:space="preserve">107.7285975,16.1558962</x:t>
  </x:si>
  <x:si>
    <x:t xml:space="preserve">107.5999184,16.51262086</x:t>
  </x:si>
  <x:si>
    <x:t xml:space="preserve">HOÀNG VĂN DUY</x:t>
  </x:si>
  <x:si>
    <x:t xml:space="preserve">107.6259293,16.50441385</x:t>
  </x:si>
  <x:si>
    <x:t xml:space="preserve">107.6813725,16.53870615</x:t>
  </x:si>
  <x:si>
    <x:t xml:space="preserve">107.6466447,16.55891973</x:t>
  </x:si>
  <x:si>
    <x:t xml:space="preserve">107.5979463,16.54525817</x:t>
  </x:si>
  <x:si>
    <x:t xml:space="preserve">107.5832509,16.51744811</x:t>
  </x:si>
  <x:si>
    <x:t xml:space="preserve">107.6019846,16.48437335</x:t>
  </x:si>
  <x:si>
    <x:t xml:space="preserve">107.6295376,16.49475995</x:t>
  </x:si>
  <x:si>
    <x:t xml:space="preserve">107.6668753,16.46827862</x:t>
  </x:si>
  <x:si>
    <x:t xml:space="preserve">107.6802439,16.45466437</x:t>
  </x:si>
  <x:si>
    <x:t xml:space="preserve">107.8122242,16.3722527</x:t>
  </x:si>
  <x:si>
    <x:t xml:space="preserve">107.7015146,16.48935261</x:t>
  </x:si>
  <x:si>
    <x:t xml:space="preserve">107.755025692453,16.4708932013894</x:t>
  </x:si>
  <x:si>
    <x:t xml:space="preserve">107.784874,16.4335387</x:t>
  </x:si>
  <x:si>
    <x:t xml:space="preserve">107.9263386,16.32274271</x:t>
  </x:si>
  <x:si>
    <x:t xml:space="preserve">107.8803747,16.37878783</x:t>
  </x:si>
  <x:si>
    <x:t xml:space="preserve">107.8273799,16.39411377</x:t>
  </x:si>
  <x:si>
    <x:t xml:space="preserve">107.8521338,16.3781616</x:t>
  </x:si>
  <x:si>
    <x:t xml:space="preserve">107.7701211,16.32429538</x:t>
  </x:si>
  <x:si>
    <x:t xml:space="preserve">107.7392913,16.3469727</x:t>
  </x:si>
  <x:si>
    <x:t xml:space="preserve">107.7356297,16.35843112</x:t>
  </x:si>
  <x:si>
    <x:t xml:space="preserve">107.7799425,16.31588306</x:t>
  </x:si>
  <x:si>
    <x:t xml:space="preserve">107.7810448,16.27289068</x:t>
  </x:si>
  <x:si>
    <x:t xml:space="preserve">107.7029243,16.26247539</x:t>
  </x:si>
  <x:si>
    <x:t xml:space="preserve">107.8836566,16.27022371</x:t>
  </x:si>
  <x:si>
    <x:t xml:space="preserve">NGUYỄN THỊ THÙY LOAN</x:t>
  </x:si>
  <x:si>
    <x:t xml:space="preserve">107.9370636,16.2725688</x:t>
  </x:si>
  <x:si>
    <x:t xml:space="preserve">107.334833550668,16.138736105836</x:t>
  </x:si>
  <x:si>
    <x:t xml:space="preserve">107.193045709076,16.3107794166709</x:t>
  </x:si>
  <x:si>
    <x:t xml:space="preserve">107.158957196231,16.339219697399</x:t>
  </x:si>
  <x:si>
    <x:t xml:space="preserve">107.368532350599,16.0832374788337</x:t>
  </x:si>
  <x:si>
    <x:t xml:space="preserve">107.710231191343,16.1577201134912</x:t>
  </x:si>
  <x:si>
    <x:t xml:space="preserve">107.6337754,16.53865088</x:t>
  </x:si>
  <x:si>
    <x:t xml:space="preserve">107.775702228437,16.4148742192703</x:t>
  </x:si>
  <x:si>
    <x:t xml:space="preserve">107.826465868463,16.4236954215854</x:t>
  </x:si>
  <x:si>
    <x:t xml:space="preserve">107.879883419151,16.2711004257341</x:t>
  </x:si>
  <x:si>
    <x:t xml:space="preserve">Trần Phú Thành</x:t>
  </x:si>
  <x:si>
    <x:t xml:space="preserve">0234.3836666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</x:si>
</x:sst>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16">
    <x:font>
      <x:sz val="11"/>
      <x:color theme="1"/>
      <x:name val="Calibri"/>
    </x:font>
    <x:font>
      <x:sz val="10"/>
      <x:color rgb="FF000000"/>
      <x:name val="Arial"/>
    </x:font>
    <x:font>
      <x:sz val="10"/>
      <x:name val="Calibri"/>
    </x:font>
    <x:font>
      <x:sz val="11"/>
      <x:color indexed="8"/>
      <x:name val="Calibri"/>
    </x:font>
    <x:font>
      <x:b/>
      <x:sz val="30"/>
      <x:name val="Calibri Light"/>
    </x:font>
    <x:font>
      <x:b/>
      <x:i/>
      <x:sz val="20"/>
      <x:color rgb="FFFF0000"/>
      <x:name val="Calibri Light"/>
    </x:font>
    <x:font>
      <x:b/>
      <x:sz val="11"/>
      <x:color rgb="FFFF0000"/>
      <x:name val="Calibri Light"/>
    </x:font>
    <x:font>
      <x:i/>
      <x:sz val="11"/>
      <x:name val="Calibri Light"/>
    </x:font>
    <x:font>
      <x:sz val="11"/>
      <x:name val="Calibri Light"/>
    </x:font>
    <x:font>
      <x:b/>
      <x:sz val="11"/>
      <x:name val="Calibri Light"/>
    </x:font>
    <x:font>
      <x:b/>
      <x:sz val="11"/>
      <x:color theme="1"/>
      <x:name val="Calibri Light"/>
    </x:font>
    <x:font>
      <x:sz val="11"/>
      <x:color rgb="FFFF0000"/>
      <x:name val="Calibri Light"/>
    </x:font>
    <x:font>
      <x:b/>
      <x:sz val="16"/>
      <x:color rgb="FFFFFFFF"/>
      <x:name val="Calibri"/>
    </x:font>
    <x:font>
      <x:i/>
      <x:sz val="11"/>
      <x:color rgb="FF1F2937"/>
      <x:name val="Calibri"/>
    </x:font>
    <x:font>
      <x:b/>
      <x:sz val="11"/>
      <x:color rgb="FFFFFFFF"/>
      <x:name val="Calibri"/>
    </x:font>
    <x:font>
      <x:b/>
      <x:sz val="11"/>
      <x:color rgb="FF1F293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theme="8" tint="0.39998"/>
      </x:patternFill>
    </x:fill>
    <x:fill>
      <x:patternFill patternType="solid">
        <x:fgColor theme="5" tint="0.39998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4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rgb="FF000000"/>
      </x:bottom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  <x:bottom/>
    </x:border>
    <x:border>
      <x:right/>
      <x:top/>
      <x:bottom/>
    </x:border>
  </x:borders>
  <x:cellStyleXfs count="2">
    <x:xf numFmtId="0" fontId="0" fillId="0" borderId="0"/>
    <x:xf numFmtId="0" fontId="3" fillId="0" borderId="0"/>
  </x:cellStyleXfs>
  <x:cellXfs count="214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0" fillId="0" borderId="0" xfId="0" applyAlignment="1">
      <x:alignment vertical="center"/>
    </x:xf>
    <x:xf numFmtId="0" fontId="2" fillId="0" borderId="0" xfId="0" applyFont="1" applyAlignment="1">
      <x:alignment vertical="center" wrapText="1"/>
    </x:xf>
    <x:xf numFmtId="0" fontId="0" fillId="0" borderId="0" xfId="0"/>
    <x:xf numFmtId="0" fontId="4" fillId="0" borderId="0" xfId="1" applyFont="1" applyAlignment="1">
      <x:alignment horizontal="center" vertical="center"/>
    </x:xf>
    <x:xf numFmtId="0" fontId="3" fillId="0" borderId="0" xfId="1"/>
    <x:xf numFmtId="0" fontId="5" fillId="0" borderId="0" xfId="1" applyFont="1" applyAlignment="1">
      <x:alignment horizontal="center" vertical="center"/>
    </x:xf>
    <x:xf numFmtId="0" fontId="5" fillId="0" borderId="0" xfId="1" applyFont="1" applyAlignment="1">
      <x:alignment horizontal="center" vertical="center"/>
    </x:xf>
    <x:xf numFmtId="0" fontId="6" fillId="0" borderId="0" xfId="1" applyFont="1" applyAlignment="1">
      <x:alignment horizontal="center" vertical="center"/>
    </x:xf>
    <x:xf numFmtId="0" fontId="7" fillId="0" borderId="0" xfId="1" applyFont="1" applyAlignment="1">
      <x:alignment horizontal="center"/>
    </x:xf>
    <x:xf numFmtId="0" fontId="8" fillId="0" borderId="0" xfId="1" applyFont="1" applyAlignment="1">
      <x:alignment horizontal="center"/>
    </x:xf>
    <x:xf numFmtId="0" fontId="8" fillId="0" borderId="0" xfId="1" applyFont="1"/>
    <x:xf numFmtId="0" fontId="8" fillId="0" borderId="0" xfId="1" applyFont="1" applyAlignment="1">
      <x:alignment horizontal="left"/>
    </x:xf>
    <x:xf numFmtId="0" fontId="8" fillId="0" borderId="0" xfId="1" applyFont="1" applyAlignment="1">
      <x:alignment horizontal="right"/>
    </x:xf>
    <x:xf numFmtId="0" fontId="8" fillId="0" borderId="0" xfId="1" applyFont="1" applyAlignment="1">
      <x:alignment horizontal="left" vertical="center"/>
    </x:xf>
    <x:xf numFmtId="0" fontId="8" fillId="0" borderId="0" xfId="1" applyFont="1" applyAlignment="1">
      <x:alignment horizontal="center" vertical="center"/>
    </x:xf>
    <x:xf numFmtId="0" fontId="6" fillId="0" borderId="2" xfId="1" applyFont="1" applyBorder="1" applyAlignment="1">
      <x:alignment horizontal="center" vertical="center"/>
    </x:xf>
    <x:xf numFmtId="0" fontId="9" fillId="0" borderId="2" xfId="1" applyFont="1" applyBorder="1" applyAlignment="1">
      <x:alignment horizontal="center" vertical="center"/>
    </x:xf>
    <x:xf numFmtId="0" fontId="9" fillId="0" borderId="2" xfId="1" applyFont="1" applyBorder="1"/>
    <x:xf numFmtId="0" fontId="9" fillId="0" borderId="2" xfId="1" applyFont="1" applyBorder="1" applyAlignment="1">
      <x:alignment vertical="center"/>
    </x:xf>
    <x:xf numFmtId="0" fontId="9" fillId="0" borderId="2" xfId="1" applyFont="1" applyBorder="1" applyAlignment="1">
      <x:alignment horizontal="center" vertical="center" wrapText="1"/>
    </x:xf>
    <x:xf numFmtId="0" fontId="9" fillId="2" borderId="2" xfId="1" applyFont="1" applyFill="1" applyBorder="1" applyAlignment="1">
      <x:alignment horizontal="center"/>
    </x:xf>
    <x:xf numFmtId="0" fontId="9" fillId="0" borderId="2" xfId="1" applyFont="1" applyBorder="1" applyAlignment="1">
      <x:alignment horizontal="center" vertical="center"/>
    </x:xf>
    <x:xf numFmtId="0" fontId="9" fillId="0" borderId="2" xfId="1" applyFont="1" applyBorder="1" applyAlignment="1">
      <x:alignment horizontal="center"/>
    </x:xf>
    <x:xf numFmtId="0" fontId="9" fillId="0" borderId="2" xfId="1" applyFont="1" applyBorder="1" applyAlignment="1">
      <x:alignment vertical="center"/>
    </x:xf>
    <x:xf numFmtId="0" fontId="10" fillId="0" borderId="2" xfId="1" applyFont="1" applyBorder="1" applyAlignment="1">
      <x:alignment horizontal="center" vertical="center" wrapText="1"/>
    </x:xf>
    <x:xf numFmtId="0" fontId="10" fillId="3" borderId="2" xfId="1" applyFont="1" applyFill="1" applyBorder="1" applyAlignment="1">
      <x:alignment horizontal="center" vertical="center" wrapText="1"/>
    </x:xf>
    <x:xf numFmtId="0" fontId="10" fillId="4" borderId="2" xfId="1" applyFont="1" applyFill="1" applyBorder="1" applyAlignment="1">
      <x:alignment horizontal="center" vertical="center" wrapText="1"/>
    </x:xf>
    <x:xf numFmtId="0" fontId="9" fillId="0" borderId="2" xfId="1" applyFont="1" applyBorder="1" applyAlignment="1">
      <x:alignment horizontal="center" vertical="top"/>
    </x:xf>
    <x:xf numFmtId="14" fontId="9" fillId="2" borderId="2" xfId="1" applyNumberFormat="1" applyFont="1" applyFill="1" applyBorder="1" applyAlignment="1">
      <x:alignment horizontal="center" wrapText="1"/>
    </x:xf>
    <x:xf numFmtId="0" fontId="9" fillId="0" borderId="2" xfId="1" applyFont="1" applyBorder="1" applyAlignment="1">
      <x:alignment vertical="top"/>
    </x:xf>
    <x:xf numFmtId="0" fontId="6" fillId="0" borderId="3" xfId="1" applyFont="1" applyBorder="1" applyAlignment="1">
      <x:alignment horizontal="left" vertical="center"/>
    </x:xf>
    <x:xf numFmtId="0" fontId="8" fillId="5" borderId="3" xfId="1" applyFont="1" applyFill="1" applyBorder="1" applyAlignment="1">
      <x:alignment horizontal="center"/>
    </x:xf>
    <x:xf numFmtId="0" fontId="8" fillId="5" borderId="3" xfId="1" applyFont="1" applyFill="1" applyBorder="1" applyAlignment="1">
      <x:alignment horizontal="center"/>
    </x:xf>
    <x:xf numFmtId="0" fontId="8" fillId="5" borderId="3" xfId="1" applyFont="1" applyFill="1" applyBorder="1"/>
    <x:xf numFmtId="0" fontId="8" fillId="5" borderId="3" xfId="1" applyFont="1" applyFill="1" applyBorder="1" applyAlignment="1">
      <x:alignment horizontal="center"/>
    </x:xf>
    <x:xf numFmtId="0" fontId="8" fillId="5" borderId="3" xfId="1" applyFont="1" applyFill="1" applyBorder="1" applyAlignment="1">
      <x:alignment horizontal="left"/>
    </x:xf>
    <x:xf numFmtId="0" fontId="8" fillId="5" borderId="3" xfId="1" applyFont="1" applyFill="1" applyBorder="1" applyAlignment="1">
      <x:alignment horizontal="left"/>
    </x:xf>
    <x:xf numFmtId="0" fontId="8" fillId="5" borderId="3" xfId="1" applyFont="1" applyFill="1" applyBorder="1" applyAlignment="1">
      <x:alignment horizontal="right"/>
    </x:xf>
    <x:xf numFmtId="0" fontId="8" fillId="0" borderId="3" xfId="1" applyFont="1" applyBorder="1" applyAlignment="1">
      <x:alignment horizontal="left" vertical="center"/>
    </x:xf>
    <x:xf numFmtId="0" fontId="8" fillId="0" borderId="3" xfId="1" applyFont="1" applyBorder="1" applyAlignment="1">
      <x:alignment horizontal="center" vertical="center"/>
    </x:xf>
    <x:xf numFmtId="0" fontId="8" fillId="0" borderId="3" xfId="1" applyFont="1" applyBorder="1" applyAlignment="1">
      <x:alignment horizontal="center"/>
    </x:xf>
    <x:xf numFmtId="0" fontId="8" fillId="0" borderId="3" xfId="1" applyFont="1" applyBorder="1" applyAlignment="1">
      <x:alignment horizontal="center"/>
    </x:xf>
    <x:xf numFmtId="0" fontId="8" fillId="0" borderId="3" xfId="1" applyFont="1" applyBorder="1"/>
    <x:xf numFmtId="0" fontId="8" fillId="0" borderId="3" xfId="1" applyFont="1" applyBorder="1" applyAlignment="1">
      <x:alignment horizontal="center"/>
    </x:xf>
    <x:xf numFmtId="0" fontId="8" fillId="0" borderId="3" xfId="1" applyFont="1" applyBorder="1" applyAlignment="1">
      <x:alignment horizontal="left"/>
    </x:xf>
    <x:xf numFmtId="0" fontId="8" fillId="0" borderId="3" xfId="1" applyFont="1" applyBorder="1" applyAlignment="1">
      <x:alignment horizontal="left"/>
    </x:xf>
    <x:xf numFmtId="0" fontId="8" fillId="0" borderId="3" xfId="1" applyFont="1" applyBorder="1" applyAlignment="1">
      <x:alignment horizontal="right"/>
    </x:xf>
    <x:xf numFmtId="0" fontId="11" fillId="5" borderId="3" xfId="1" applyFont="1" applyFill="1" applyBorder="1" applyAlignment="1">
      <x:alignment horizontal="center"/>
    </x:xf>
    <x:xf numFmtId="0" fontId="8" fillId="5" borderId="3" xfId="1" applyFont="1" applyFill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5" fillId="0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/>
    <x:xf numFmtId="0" fontId="8" fillId="0" borderId="6" xfId="0" applyNumberFormat="1" applyFont="1" applyFill="1" applyBorder="1" applyAlignment="1">
      <x:alignment horizontal="left"/>
    </x:xf>
    <x:xf numFmtId="0" fontId="8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 applyAlignment="1">
      <x:alignment horizontal="left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/>
    <x:xf numFmtId="0" fontId="9" fillId="0" borderId="8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 wrapText="1"/>
    </x:xf>
    <x:xf numFmtId="0" fontId="9" fillId="2" borderId="8" xfId="0" applyNumberFormat="1" applyFont="1" applyFill="1" applyBorder="1" applyAlignment="1">
      <x:alignment horizontal="center"/>
    </x:xf>
    <x:xf numFmtId="0" fontId="9" fillId="0" borderId="8" xfId="0" applyNumberFormat="1" applyFont="1" applyFill="1" applyBorder="1" applyAlignment="1">
      <x:alignment horizontal="center"/>
    </x:xf>
    <x:xf numFmtId="0" fontId="10" fillId="0" borderId="8" xfId="0" applyNumberFormat="1" applyFont="1" applyFill="1" applyBorder="1" applyAlignment="1">
      <x:alignment horizontal="center" vertical="center" wrapText="1"/>
    </x:xf>
    <x:xf numFmtId="0" fontId="10" fillId="3" borderId="8" xfId="0" applyNumberFormat="1" applyFont="1" applyFill="1" applyBorder="1" applyAlignment="1">
      <x:alignment horizontal="center"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 applyAlignment="1">
      <x:alignment horizontal="center" vertical="top"/>
    </x:xf>
    <x:xf numFmtId="14" fontId="9" fillId="2" borderId="8" xfId="0" applyNumberFormat="1" applyFont="1" applyFill="1" applyBorder="1" applyAlignment="1">
      <x:alignment horizontal="center" wrapText="1"/>
    </x:xf>
    <x:xf numFmtId="0" fontId="9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horizontal="left" vertical="center"/>
    </x:xf>
    <x:xf numFmtId="0" fontId="8" fillId="5" borderId="9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/>
    <x:xf numFmtId="0" fontId="8" fillId="5" borderId="9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8" fillId="0" borderId="9" xfId="0" applyNumberFormat="1" applyFont="1" applyFill="1" applyBorder="1" applyAlignment="1">
      <x:alignment horizontal="left" vertical="center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horizontal="center"/>
    </x:xf>
    <x:xf numFmtId="0" fontId="8" fillId="0" borderId="9" xfId="0" applyNumberFormat="1" applyFont="1" applyFill="1" applyBorder="1"/>
    <x:xf numFmtId="0" fontId="8" fillId="0" borderId="9" xfId="0" applyNumberFormat="1" applyFont="1" applyFill="1" applyBorder="1" applyAlignment="1">
      <x:alignment horizontal="left"/>
    </x:xf>
    <x:xf numFmtId="0" fontId="8" fillId="0" borderId="9" xfId="0" applyNumberFormat="1" applyFont="1" applyFill="1" applyBorder="1" applyAlignment="1">
      <x:alignment horizontal="right"/>
    </x:xf>
    <x:xf numFmtId="0" fontId="11" fillId="5" borderId="9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0" fillId="6" borderId="6" xfId="0" applyNumberFormat="1" applyFont="1" applyFill="1" applyBorder="1"/>
    <x:xf numFmtId="0" fontId="12" fillId="6" borderId="6" xfId="0" applyNumberFormat="1" applyFont="1" applyFill="1" applyBorder="1"/>
    <x:xf numFmtId="0" fontId="12" fillId="6" borderId="6" xfId="0" applyNumberFormat="1" applyFont="1" applyFill="1" applyBorder="1" applyAlignment="1">
      <x:alignment horizontal="center"/>
    </x:xf>
    <x:xf numFmtId="0" fontId="12" fillId="6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horizontal="left" wrapText="1"/>
    </x:xf>
    <x:xf numFmtId="0" fontId="13" fillId="7" borderId="0" xfId="0" applyNumberFormat="1" applyFont="1" applyFill="1" applyBorder="1" applyAlignment="1">
      <x:alignment horizontal="left" vertical="center" wrapText="1"/>
    </x:xf>
    <x:xf numFmtId="0" fontId="0" fillId="7" borderId="6" xfId="0" applyNumberFormat="1" applyFont="1" applyFill="1" applyBorder="1"/>
    <x:xf numFmtId="0" fontId="13" fillId="7" borderId="6" xfId="0" applyNumberFormat="1" applyFont="1" applyFill="1" applyBorder="1"/>
    <x:xf numFmtId="0" fontId="13" fillId="7" borderId="6" xfId="0" applyNumberFormat="1" applyFont="1" applyFill="1" applyBorder="1" applyAlignment="1">
      <x:alignment wrapText="1"/>
    </x:xf>
    <x:xf numFmtId="0" fontId="13" fillId="7" borderId="6" xfId="0" applyNumberFormat="1" applyFont="1" applyFill="1" applyBorder="1" applyAlignment="1">
      <x:alignment horizontal="left" wrapText="1"/>
    </x:xf>
    <x:xf numFmtId="0" fontId="13" fillId="7" borderId="6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12" xfId="0" applyNumberFormat="1" applyFont="1" applyFill="1" applyBorder="1"/>
    <x:xf numFmtId="0" fontId="14" fillId="8" borderId="13" xfId="0" applyNumberFormat="1" applyFont="1" applyFill="1" applyBorder="1"/>
    <x:xf numFmtId="0" fontId="14" fillId="8" borderId="14" xfId="0" applyNumberFormat="1" applyFont="1" applyFill="1" applyBorder="1"/>
    <x:xf numFmtId="0" fontId="14" fillId="8" borderId="12" xfId="0" applyNumberFormat="1" applyFont="1" applyFill="1" applyBorder="1" applyAlignment="1">
      <x:alignment wrapText="1"/>
    </x:xf>
    <x:xf numFmtId="0" fontId="14" fillId="8" borderId="13" xfId="0" applyNumberFormat="1" applyFont="1" applyFill="1" applyBorder="1" applyAlignment="1">
      <x:alignment wrapText="1"/>
    </x:xf>
    <x:xf numFmtId="0" fontId="14" fillId="8" borderId="14" xfId="0" applyNumberFormat="1" applyFont="1" applyFill="1" applyBorder="1" applyAlignment="1">
      <x:alignment wrapText="1"/>
    </x:xf>
    <x:xf numFmtId="0" fontId="14" fillId="8" borderId="12" xfId="0" applyNumberFormat="1" applyFont="1" applyFill="1" applyBorder="1" applyAlignment="1">
      <x:alignment horizontal="center" wrapText="1"/>
    </x:xf>
    <x:xf numFmtId="0" fontId="14" fillId="8" borderId="13" xfId="0" applyNumberFormat="1" applyFont="1" applyFill="1" applyBorder="1" applyAlignment="1">
      <x:alignment horizontal="center" wrapText="1"/>
    </x:xf>
    <x:xf numFmtId="0" fontId="14" fillId="8" borderId="14" xfId="0" applyNumberFormat="1" applyFont="1" applyFill="1" applyBorder="1" applyAlignment="1">
      <x:alignment horizontal="center" wrapText="1"/>
    </x:xf>
    <x:xf numFmtId="0" fontId="14" fillId="8" borderId="12" xfId="0" applyNumberFormat="1" applyFont="1" applyFill="1" applyBorder="1" applyAlignment="1">
      <x:alignment horizontal="center" vertical="center" wrapText="1"/>
    </x:xf>
    <x:xf numFmtId="0" fontId="14" fillId="8" borderId="13" xfId="0" applyNumberFormat="1" applyFont="1" applyFill="1" applyBorder="1" applyAlignment="1">
      <x:alignment horizontal="center" vertical="center" wrapText="1"/>
    </x:xf>
    <x:xf numFmtId="0" fontId="14" fillId="8" borderId="14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/>
    <x:xf numFmtId="0" fontId="14" fillId="8" borderId="6" xfId="0" applyNumberFormat="1" applyFont="1" applyFill="1" applyBorder="1"/>
    <x:xf numFmtId="0" fontId="14" fillId="8" borderId="15" xfId="0" applyNumberFormat="1" applyFont="1" applyFill="1" applyBorder="1"/>
    <x:xf numFmtId="0" fontId="14" fillId="8" borderId="16" xfId="0" applyNumberFormat="1" applyFont="1" applyFill="1" applyBorder="1"/>
    <x:xf numFmtId="0" fontId="14" fillId="8" borderId="17" xfId="0" applyNumberFormat="1" applyFont="1" applyFill="1" applyBorder="1"/>
    <x:xf numFmtId="0" fontId="14" fillId="8" borderId="15" xfId="0" applyNumberFormat="1" applyFont="1" applyFill="1" applyBorder="1" applyAlignment="1">
      <x:alignment wrapText="1"/>
    </x:xf>
    <x:xf numFmtId="0" fontId="14" fillId="8" borderId="16" xfId="0" applyNumberFormat="1" applyFont="1" applyFill="1" applyBorder="1" applyAlignment="1">
      <x:alignment wrapText="1"/>
    </x:xf>
    <x:xf numFmtId="0" fontId="14" fillId="8" borderId="17" xfId="0" applyNumberFormat="1" applyFont="1" applyFill="1" applyBorder="1" applyAlignment="1">
      <x:alignment wrapText="1"/>
    </x:xf>
    <x:xf numFmtId="0" fontId="14" fillId="8" borderId="15" xfId="0" applyNumberFormat="1" applyFont="1" applyFill="1" applyBorder="1" applyAlignment="1">
      <x:alignment horizontal="center" wrapText="1"/>
    </x:xf>
    <x:xf numFmtId="0" fontId="14" fillId="8" borderId="16" xfId="0" applyNumberFormat="1" applyFont="1" applyFill="1" applyBorder="1" applyAlignment="1">
      <x:alignment horizontal="center" wrapText="1"/>
    </x:xf>
    <x:xf numFmtId="0" fontId="14" fillId="8" borderId="17" xfId="0" applyNumberFormat="1" applyFont="1" applyFill="1" applyBorder="1" applyAlignment="1">
      <x:alignment horizontal="center" wrapText="1"/>
    </x:xf>
    <x:xf numFmtId="0" fontId="14" fillId="8" borderId="15" xfId="0" applyNumberFormat="1" applyFont="1" applyFill="1" applyBorder="1" applyAlignment="1">
      <x:alignment horizontal="center" vertical="center" wrapText="1"/>
    </x:xf>
    <x:xf numFmtId="0" fontId="14" fillId="8" borderId="16" xfId="0" applyNumberFormat="1" applyFont="1" applyFill="1" applyBorder="1" applyAlignment="1">
      <x:alignment horizontal="center" vertical="center" wrapText="1"/>
    </x:xf>
    <x:xf numFmtId="0" fontId="14" fillId="8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0" fontId="0" fillId="0" borderId="27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32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4" fillId="6" borderId="6" xfId="0" applyNumberFormat="1" applyFont="1" applyFill="1" applyBorder="1"/>
    <x:xf numFmtId="0" fontId="14" fillId="6" borderId="6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7" borderId="38" xfId="0" applyNumberFormat="1" applyFont="1" applyFill="1" applyBorder="1"/>
    <x:xf numFmtId="0" fontId="0" fillId="7" borderId="39" xfId="0" applyNumberFormat="1" applyFont="1" applyFill="1" applyBorder="1"/>
    <x:xf numFmtId="0" fontId="15" fillId="7" borderId="38" xfId="0" applyNumberFormat="1" applyFont="1" applyFill="1" applyBorder="1"/>
    <x:xf numFmtId="0" fontId="15" fillId="7" borderId="39" xfId="0" applyNumberFormat="1" applyFont="1" applyFill="1" applyBorder="1"/>
    <x:xf numFmtId="0" fontId="15" fillId="7" borderId="46" xfId="0" applyNumberFormat="1" applyFont="1" applyFill="1" applyBorder="1"/>
    <x:xf numFmtId="0" fontId="15" fillId="7" borderId="47" xfId="0" applyNumberFormat="1" applyFont="1" applyFill="1" applyBorder="1"/>
  </x:cellXfs>
  <x:cellStyles count="2">
    <x:cellStyle name="Normal" xfId="0"/>
    <x:cellStyle name="Normal 2" xfId="1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9f6d3ee0e4932" /><Relationship Type="http://schemas.openxmlformats.org/officeDocument/2006/relationships/theme" Target="/xl/theme/theme1.xml" Id="R95f470f4a777414e" /><Relationship Type="http://schemas.openxmlformats.org/officeDocument/2006/relationships/sharedStrings" Target="/xl/sharedStrings.xml" Id="Rfd01272c8a124766" /><Relationship Type="http://schemas.openxmlformats.org/officeDocument/2006/relationships/worksheet" Target="/xl/worksheets/sheet1.xml" Id="Re3b7686d3c764a0c" /><Relationship Type="http://schemas.openxmlformats.org/officeDocument/2006/relationships/worksheet" Target="/xl/worksheets/sheet2.xml" Id="R6d351829fb374412" /><Relationship Type="http://schemas.openxmlformats.org/officeDocument/2006/relationships/worksheet" Target="/xl/worksheets/sheet3.xml" Id="R8633b79ff8a1487c" /></Relationships>
</file>

<file path=xl/tables/table1.xml><?xml version="1.0" encoding="utf-8"?>
<x:table xmlns:x="http://schemas.openxmlformats.org/spreadsheetml/2006/main" id="1" name="DuLieuBanDoTable" displayName="DuLieuBanDoTable" ref="A4:K155" headerRowCount="1">
  <x:tableColumns count="11">
    <x:tableColumn id="1" name="STT"/>
    <x:tableColumn id="2" name="Mã điểm phục vụ"/>
    <x:tableColumn id="3" name="Tên điểm phục vụ"/>
    <x:tableColumn id="4" name="Loại điểm"/>
    <x:tableColumn id="5" name="Ký hiệu trên bản đồ"/>
    <x:tableColumn id="6" name="Địa chỉ chi tiết"/>
    <x:tableColumn id="7" name="Phường/Xã"/>
    <x:tableColumn id="8" name="Trạng thái"/>
    <x:tableColumn id="9" name="Kinh độ"/>
    <x:tableColumn id="10" name="Vĩ độ"/>
    <x:tableColumn id="11" name="Đơn vị quản lý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c6cfbe2198d4d08" /></Relationships>
</file>

<file path=xl/worksheets/sheet1.xml><?xml version="1.0" encoding="utf-8"?>
<x:worksheet xmlns:x="http://schemas.openxmlformats.org/spreadsheetml/2006/main">
  <x:sheetFormatPr defaultRowHeight="15"/>
  <x:cols>
    <x:col min="1" max="1" width="11.5703125" style="8" customWidth="1"/>
    <x:col min="2" max="3" width="9" style="8" customWidth="1"/>
    <x:col min="4" max="4" width="5.85546875" style="8" customWidth="1"/>
    <x:col min="5" max="5" width="9.42578125" style="8" customWidth="1"/>
    <x:col min="6" max="6" width="8.42578125" style="8" customWidth="1"/>
    <x:col min="7" max="7" width="18.7109375" style="8" customWidth="1"/>
    <x:col min="8" max="8" width="8.85546875" style="8" customWidth="1"/>
    <x:col min="9" max="9" width="29" style="8" customWidth="1"/>
    <x:col min="10" max="10" width="9" style="8" customWidth="1"/>
    <x:col min="11" max="11" width="26.42578125" style="8" customWidth="1"/>
    <x:col min="12" max="12" width="11.5703125" style="8" customWidth="1"/>
    <x:col min="13" max="13" width="6.7109375" style="8" customWidth="1"/>
    <x:col min="14" max="14" width="21.140625" style="8" customWidth="1"/>
    <x:col min="15" max="15" width="9.7109375" style="8" customWidth="1"/>
    <x:col min="16" max="16" width="48" style="8" customWidth="1"/>
    <x:col min="17" max="17" width="11.28515625" style="8" customWidth="1"/>
    <x:col min="18" max="18" width="16" style="8" customWidth="1"/>
    <x:col min="19" max="19" width="8.7109375" style="8" customWidth="1"/>
    <x:col min="20" max="20" width="7.5703125" style="8" customWidth="1"/>
    <x:col min="21" max="22" width="11.42578125" style="8" customWidth="1"/>
    <x:col min="23" max="23" width="37" style="8" customWidth="1"/>
    <x:col min="24" max="16384" width="9.140625" style="8" customWidth="0"/>
  </x:cols>
  <x:sheetData>
    <x:row r="1" ht="39">
      <x:c r="A1" s="7" t="s">
        <x:v>0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</x:row>
    <x:row r="2" ht="26.25">
      <x:c r="A2" s="9" t="s">
        <x:v>1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 ht="26.25">
      <x:c r="A3" s="10">
        <x:v>1</x:v>
      </x:c>
      <x:c r="B3" s="10">
        <x:v>2</x:v>
      </x:c>
      <x:c r="C3" s="10">
        <x:v>3</x:v>
      </x:c>
      <x:c r="D3" s="10">
        <x:v>4</x:v>
      </x:c>
      <x:c r="E3" s="10">
        <x:v>5</x:v>
      </x:c>
      <x:c r="F3" s="10">
        <x:v>6</x:v>
      </x:c>
      <x:c r="G3" s="10">
        <x:v>7</x:v>
      </x:c>
      <x:c r="H3" s="10">
        <x:v>8</x:v>
      </x:c>
      <x:c r="I3" s="10">
        <x:v>9</x:v>
      </x:c>
      <x:c r="J3" s="10">
        <x:v>10</x:v>
      </x:c>
      <x:c r="K3" s="10">
        <x:v>11</x:v>
      </x:c>
      <x:c r="L3" s="10">
        <x:v>12</x:v>
      </x:c>
      <x:c r="M3" s="10">
        <x:v>13</x:v>
      </x:c>
      <x:c r="N3" s="10">
        <x:v>14</x:v>
      </x:c>
      <x:c r="O3" s="10">
        <x:v>15</x:v>
      </x:c>
      <x:c r="P3" s="10">
        <x:v>16</x:v>
      </x:c>
      <x:c r="Q3" s="10">
        <x:v>17</x:v>
      </x:c>
      <x:c r="R3" s="10">
        <x:v>18</x:v>
      </x:c>
      <x:c r="S3" s="10">
        <x:v>19</x:v>
      </x:c>
      <x:c r="T3" s="10">
        <x:v>20</x:v>
      </x:c>
      <x:c r="U3" s="10">
        <x:v>21</x:v>
      </x:c>
      <x:c r="V3" s="10">
        <x:v>22</x:v>
      </x:c>
    </x:row>
    <x:row r="4">
      <x:c r="A4" s="11" t="s">
        <x:v>2</x:v>
      </x:c>
      <x:c r="B4" s="11" t="s">
        <x:v>2</x:v>
      </x:c>
      <x:c r="C4" s="12"/>
      <x:c r="D4" s="12"/>
      <x:c r="E4" s="12"/>
      <x:c r="F4" s="12"/>
      <x:c r="G4" s="12"/>
      <x:c r="H4" s="12"/>
      <x:c r="I4" s="12"/>
      <x:c r="J4" s="13"/>
      <x:c r="K4" s="14"/>
      <x:c r="L4" s="13"/>
      <x:c r="M4" s="13"/>
      <x:c r="N4" s="15"/>
      <x:c r="O4" s="13"/>
      <x:c r="P4" s="14"/>
      <x:c r="Q4" s="13"/>
      <x:c r="R4" s="16"/>
      <x:c r="S4" s="14"/>
      <x:c r="T4" s="17"/>
      <x:c r="U4" s="18"/>
      <x:c r="V4" s="18"/>
    </x:row>
    <x:row r="5" ht="45">
      <x:c r="A5" s="19" t="s">
        <x:v>3</x:v>
      </x:c>
      <x:c r="B5" s="20" t="s">
        <x:v>4</x:v>
      </x:c>
      <x:c r="C5" s="21" t="s">
        <x:v>5</x:v>
      </x:c>
      <x:c r="D5" s="21"/>
      <x:c r="E5" s="22" t="s">
        <x:v>6</x:v>
      </x:c>
      <x:c r="F5" s="23" t="s">
        <x:v>7</x:v>
      </x:c>
      <x:c r="G5" s="22" t="s">
        <x:v>8</x:v>
      </x:c>
      <x:c r="H5" s="24" t="s">
        <x:v>9</x:v>
      </x:c>
      <x:c r="I5" s="24"/>
      <x:c r="J5" s="25" t="s">
        <x:v>4</x:v>
      </x:c>
      <x:c r="K5" s="25" t="s">
        <x:v>10</x:v>
      </x:c>
      <x:c r="L5" s="26" t="s">
        <x:v>11</x:v>
      </x:c>
      <x:c r="M5" s="26"/>
      <x:c r="N5" s="25" t="s">
        <x:v>12</x:v>
      </x:c>
      <x:c r="O5" s="25" t="s">
        <x:v>13</x:v>
      </x:c>
      <x:c r="P5" s="25" t="s">
        <x:v>14</x:v>
      </x:c>
      <x:c r="Q5" s="25" t="s">
        <x:v>15</x:v>
      </x:c>
      <x:c r="R5" s="25" t="s">
        <x:v>16</x:v>
      </x:c>
      <x:c r="S5" s="27" t="s">
        <x:v>17</x:v>
      </x:c>
      <x:c r="T5" s="28" t="s">
        <x:v>18</x:v>
      </x:c>
      <x:c r="U5" s="29" t="s">
        <x:v>19</x:v>
      </x:c>
      <x:c r="V5" s="30" t="s">
        <x:v>20</x:v>
      </x:c>
      <x:c r="W5" s="53" t="s">
        <x:v>21</x:v>
      </x:c>
    </x:row>
    <x:row r="6" ht="45">
      <x:c r="A6" s="19"/>
      <x:c r="B6" s="20"/>
      <x:c r="C6" s="31" t="s">
        <x:v>22</x:v>
      </x:c>
      <x:c r="D6" s="31" t="s">
        <x:v>23</x:v>
      </x:c>
      <x:c r="E6" s="22"/>
      <x:c r="F6" s="23"/>
      <x:c r="G6" s="22"/>
      <x:c r="H6" s="32" t="s">
        <x:v>24</x:v>
      </x:c>
      <x:c r="I6" s="32" t="s">
        <x:v>25</x:v>
      </x:c>
      <x:c r="J6" s="25"/>
      <x:c r="K6" s="25"/>
      <x:c r="L6" s="33" t="s">
        <x:v>22</x:v>
      </x:c>
      <x:c r="M6" s="33" t="s">
        <x:v>23</x:v>
      </x:c>
      <x:c r="N6" s="25"/>
      <x:c r="O6" s="25"/>
      <x:c r="P6" s="25"/>
      <x:c r="Q6" s="25"/>
      <x:c r="R6" s="25"/>
      <x:c r="S6" s="27"/>
      <x:c r="T6" s="28"/>
      <x:c r="U6" s="29"/>
      <x:c r="V6" s="30"/>
      <x:c r="W6" s="54"/>
    </x:row>
    <x:row r="7">
      <x:c r="A7" s="34" t="s">
        <x:v>26</x:v>
      </x:c>
      <x:c r="B7" s="35" t="s">
        <x:v>27</x:v>
      </x:c>
      <x:c r="C7" s="36" t="s">
        <x:v>28</x:v>
      </x:c>
      <x:c r="D7" s="36" t="s">
        <x:v>29</x:v>
      </x:c>
      <x:c r="E7" s="37" t="s">
        <x:v>30</x:v>
      </x:c>
      <x:c r="F7" s="36" t="s">
        <x:v>29</x:v>
      </x:c>
      <x:c r="G7" s="37" t="s">
        <x:v>31</x:v>
      </x:c>
      <x:c r="H7" s="38" t="s">
        <x:v>32</x:v>
      </x:c>
      <x:c r="I7" s="39" t="s">
        <x:v>33</x:v>
      </x:c>
      <x:c r="J7" s="36" t="s">
        <x:v>27</x:v>
      </x:c>
      <x:c r="K7" s="37" t="s">
        <x:v>34</x:v>
      </x:c>
      <x:c r="L7" s="36" t="s">
        <x:v>35</x:v>
      </x:c>
      <x:c r="M7" s="36" t="s">
        <x:v>36</x:v>
      </x:c>
      <x:c r="N7" s="40" t="s">
        <x:v>37</x:v>
      </x:c>
      <x:c r="O7" s="36" t="s">
        <x:v>38</x:v>
      </x:c>
      <x:c r="P7" s="37" t="s">
        <x:v>39</x:v>
      </x:c>
      <x:c r="Q7" s="36" t="s">
        <x:v>40</x:v>
      </x:c>
      <x:c r="R7" s="41" t="s">
        <x:v>27</x:v>
      </x:c>
      <x:c r="S7" s="37"/>
      <x:c r="T7" s="42" t="s">
        <x:v>30</x:v>
      </x:c>
      <x:c r="U7" s="43" t="s">
        <x:v>41</x:v>
      </x:c>
      <x:c r="V7" s="43" t="s">
        <x:v>42</x:v>
      </x:c>
      <x:c r="W7" s="8" t="str">
        <x:f>+VLOOKUP($A7,'TMS- NODE'!$A$6:$N$260,6,0)</x:f>
        <x:v>107.4732064,16.65317456</x:v>
      </x:c>
    </x:row>
    <x:row r="8">
      <x:c r="A8" s="34" t="s">
        <x:v>43</x:v>
      </x:c>
      <x:c r="B8" s="35" t="s">
        <x:v>44</x:v>
      </x:c>
      <x:c r="C8" s="36" t="s">
        <x:v>28</x:v>
      </x:c>
      <x:c r="D8" s="36" t="s">
        <x:v>29</x:v>
      </x:c>
      <x:c r="E8" s="37" t="s">
        <x:v>30</x:v>
      </x:c>
      <x:c r="F8" s="36" t="s">
        <x:v>29</x:v>
      </x:c>
      <x:c r="G8" s="37" t="s">
        <x:v>31</x:v>
      </x:c>
      <x:c r="H8" s="38" t="s">
        <x:v>45</x:v>
      </x:c>
      <x:c r="I8" s="39" t="s">
        <x:v>46</x:v>
      </x:c>
      <x:c r="J8" s="36" t="s">
        <x:v>44</x:v>
      </x:c>
      <x:c r="K8" s="37" t="s">
        <x:v>47</x:v>
      </x:c>
      <x:c r="L8" s="36" t="s">
        <x:v>48</x:v>
      </x:c>
      <x:c r="M8" s="36" t="s">
        <x:v>49</x:v>
      </x:c>
      <x:c r="N8" s="40" t="s">
        <x:v>50</x:v>
      </x:c>
      <x:c r="O8" s="36" t="s">
        <x:v>38</x:v>
      </x:c>
      <x:c r="P8" s="37" t="s">
        <x:v>51</x:v>
      </x:c>
      <x:c r="Q8" s="36" t="s">
        <x:v>40</x:v>
      </x:c>
      <x:c r="R8" s="41" t="s">
        <x:v>44</x:v>
      </x:c>
      <x:c r="S8" s="37"/>
      <x:c r="T8" s="42" t="s">
        <x:v>30</x:v>
      </x:c>
      <x:c r="U8" s="43" t="s">
        <x:v>41</x:v>
      </x:c>
      <x:c r="V8" s="43" t="s">
        <x:v>42</x:v>
      </x:c>
      <x:c r="W8" s="8" t="str">
        <x:f>+VLOOKUP($A8,'TMS- NODE'!$A$6:$N$260,6,0)</x:f>
        <x:v>107.699951540583,16.3975615958594</x:v>
      </x:c>
    </x:row>
    <x:row r="9">
      <x:c r="A9" s="34" t="s">
        <x:v>52</x:v>
      </x:c>
      <x:c r="B9" s="35" t="s">
        <x:v>53</x:v>
      </x:c>
      <x:c r="C9" s="36" t="s">
        <x:v>28</x:v>
      </x:c>
      <x:c r="D9" s="36" t="s">
        <x:v>29</x:v>
      </x:c>
      <x:c r="E9" s="37" t="s">
        <x:v>30</x:v>
      </x:c>
      <x:c r="F9" s="36" t="s">
        <x:v>29</x:v>
      </x:c>
      <x:c r="G9" s="37" t="s">
        <x:v>31</x:v>
      </x:c>
      <x:c r="H9" s="38" t="s">
        <x:v>54</x:v>
      </x:c>
      <x:c r="I9" s="39" t="s">
        <x:v>55</x:v>
      </x:c>
      <x:c r="J9" s="36" t="s">
        <x:v>53</x:v>
      </x:c>
      <x:c r="K9" s="37" t="s">
        <x:v>56</x:v>
      </x:c>
      <x:c r="L9" s="36" t="s">
        <x:v>57</x:v>
      </x:c>
      <x:c r="M9" s="36" t="s">
        <x:v>58</x:v>
      </x:c>
      <x:c r="N9" s="40" t="s">
        <x:v>59</x:v>
      </x:c>
      <x:c r="O9" s="36" t="s">
        <x:v>38</x:v>
      </x:c>
      <x:c r="P9" s="37" t="s">
        <x:v>60</x:v>
      </x:c>
      <x:c r="Q9" s="36" t="s">
        <x:v>40</x:v>
      </x:c>
      <x:c r="R9" s="41" t="s">
        <x:v>61</x:v>
      </x:c>
      <x:c r="S9" s="37"/>
      <x:c r="T9" s="42" t="s">
        <x:v>30</x:v>
      </x:c>
      <x:c r="U9" s="43" t="s">
        <x:v>41</x:v>
      </x:c>
      <x:c r="V9" s="43" t="s">
        <x:v>42</x:v>
      </x:c>
      <x:c r="W9" s="8" t="str">
        <x:f>+VLOOKUP($A9,'TMS- NODE'!$A$6:$N$260,6,0)</x:f>
        <x:v>107.597935092816,16.4945716186257</x:v>
      </x:c>
    </x:row>
    <x:row r="10">
      <x:c r="A10" s="34" t="s">
        <x:v>62</x:v>
      </x:c>
      <x:c r="B10" s="35" t="s">
        <x:v>63</x:v>
      </x:c>
      <x:c r="C10" s="36" t="s">
        <x:v>28</x:v>
      </x:c>
      <x:c r="D10" s="36" t="s">
        <x:v>29</x:v>
      </x:c>
      <x:c r="E10" s="37" t="s">
        <x:v>30</x:v>
      </x:c>
      <x:c r="F10" s="36" t="s">
        <x:v>29</x:v>
      </x:c>
      <x:c r="G10" s="37" t="s">
        <x:v>31</x:v>
      </x:c>
      <x:c r="H10" s="38" t="s">
        <x:v>64</x:v>
      </x:c>
      <x:c r="I10" s="39" t="s">
        <x:v>65</x:v>
      </x:c>
      <x:c r="J10" s="36" t="s">
        <x:v>63</x:v>
      </x:c>
      <x:c r="K10" s="37" t="s">
        <x:v>66</x:v>
      </x:c>
      <x:c r="L10" s="36" t="s">
        <x:v>67</x:v>
      </x:c>
      <x:c r="M10" s="36" t="s">
        <x:v>68</x:v>
      </x:c>
      <x:c r="N10" s="40" t="s">
        <x:v>69</x:v>
      </x:c>
      <x:c r="O10" s="36" t="s">
        <x:v>38</x:v>
      </x:c>
      <x:c r="P10" s="37" t="s">
        <x:v>70</x:v>
      </x:c>
      <x:c r="Q10" s="36" t="s">
        <x:v>40</x:v>
      </x:c>
      <x:c r="R10" s="41" t="s">
        <x:v>63</x:v>
      </x:c>
      <x:c r="S10" s="37"/>
      <x:c r="T10" s="42" t="s">
        <x:v>30</x:v>
      </x:c>
      <x:c r="U10" s="43" t="s">
        <x:v>41</x:v>
      </x:c>
      <x:c r="V10" s="43" t="s">
        <x:v>42</x:v>
      </x:c>
      <x:c r="W10" s="8" t="str">
        <x:f>+VLOOKUP($A10,'TMS- NODE'!$A$6:$N$260,6,0)</x:f>
        <x:v>107.681823728944,16.4806181410395</x:v>
      </x:c>
    </x:row>
    <x:row r="11">
      <x:c r="A11" s="34" t="s">
        <x:v>71</x:v>
      </x:c>
      <x:c r="B11" s="35" t="s">
        <x:v>72</x:v>
      </x:c>
      <x:c r="C11" s="36" t="s">
        <x:v>28</x:v>
      </x:c>
      <x:c r="D11" s="36" t="s">
        <x:v>29</x:v>
      </x:c>
      <x:c r="E11" s="37" t="s">
        <x:v>30</x:v>
      </x:c>
      <x:c r="F11" s="36" t="s">
        <x:v>29</x:v>
      </x:c>
      <x:c r="G11" s="37" t="s">
        <x:v>31</x:v>
      </x:c>
      <x:c r="H11" s="38" t="s">
        <x:v>54</x:v>
      </x:c>
      <x:c r="I11" s="39" t="s">
        <x:v>55</x:v>
      </x:c>
      <x:c r="J11" s="36" t="s">
        <x:v>72</x:v>
      </x:c>
      <x:c r="K11" s="37" t="s">
        <x:v>73</x:v>
      </x:c>
      <x:c r="L11" s="36" t="s">
        <x:v>74</x:v>
      </x:c>
      <x:c r="M11" s="36" t="s">
        <x:v>75</x:v>
      </x:c>
      <x:c r="N11" s="40" t="s">
        <x:v>76</x:v>
      </x:c>
      <x:c r="O11" s="36" t="s">
        <x:v>38</x:v>
      </x:c>
      <x:c r="P11" s="37" t="s">
        <x:v>77</x:v>
      </x:c>
      <x:c r="Q11" s="36" t="s">
        <x:v>40</x:v>
      </x:c>
      <x:c r="R11" s="41" t="s">
        <x:v>78</x:v>
      </x:c>
      <x:c r="S11" s="37"/>
      <x:c r="T11" s="42" t="s">
        <x:v>30</x:v>
      </x:c>
      <x:c r="U11" s="43" t="s">
        <x:v>41</x:v>
      </x:c>
      <x:c r="V11" s="43" t="s">
        <x:v>42</x:v>
      </x:c>
      <x:c r="W11" s="8" t="str">
        <x:f>+VLOOKUP($A11,'TMS- NODE'!$A$6:$N$260,6,0)</x:f>
        <x:v>107.599528020038,16.4670710722434</x:v>
      </x:c>
    </x:row>
    <x:row r="12">
      <x:c r="A12" s="34" t="s">
        <x:v>79</x:v>
      </x:c>
      <x:c r="B12" s="35" t="s">
        <x:v>80</x:v>
      </x:c>
      <x:c r="C12" s="36" t="s">
        <x:v>28</x:v>
      </x:c>
      <x:c r="D12" s="36" t="s">
        <x:v>29</x:v>
      </x:c>
      <x:c r="E12" s="37" t="s">
        <x:v>30</x:v>
      </x:c>
      <x:c r="F12" s="36" t="s">
        <x:v>29</x:v>
      </x:c>
      <x:c r="G12" s="37" t="s">
        <x:v>31</x:v>
      </x:c>
      <x:c r="H12" s="38" t="s">
        <x:v>81</x:v>
      </x:c>
      <x:c r="I12" s="39" t="s">
        <x:v>82</x:v>
      </x:c>
      <x:c r="J12" s="36" t="s">
        <x:v>80</x:v>
      </x:c>
      <x:c r="K12" s="37" t="s">
        <x:v>83</x:v>
      </x:c>
      <x:c r="L12" s="36" t="s">
        <x:v>74</x:v>
      </x:c>
      <x:c r="M12" s="36" t="s">
        <x:v>75</x:v>
      </x:c>
      <x:c r="N12" s="40" t="s">
        <x:v>76</x:v>
      </x:c>
      <x:c r="O12" s="36" t="s">
        <x:v>38</x:v>
      </x:c>
      <x:c r="P12" s="37" t="s">
        <x:v>84</x:v>
      </x:c>
      <x:c r="Q12" s="36" t="s">
        <x:v>40</x:v>
      </x:c>
      <x:c r="R12" s="41" t="s">
        <x:v>80</x:v>
      </x:c>
      <x:c r="S12" s="37"/>
      <x:c r="T12" s="42" t="s">
        <x:v>30</x:v>
      </x:c>
      <x:c r="U12" s="43" t="s">
        <x:v>41</x:v>
      </x:c>
      <x:c r="V12" s="43" t="s">
        <x:v>42</x:v>
      </x:c>
      <x:c r="W12" s="8" t="str">
        <x:f>+VLOOKUP($A12,'TMS- NODE'!$A$6:$N$260,6,0)</x:f>
        <x:v>107.596019360395,16.479609818948</x:v>
      </x:c>
    </x:row>
    <x:row r="13">
      <x:c r="A13" s="34" t="s">
        <x:v>85</x:v>
      </x:c>
      <x:c r="B13" s="35" t="s">
        <x:v>86</x:v>
      </x:c>
      <x:c r="C13" s="36" t="s">
        <x:v>28</x:v>
      </x:c>
      <x:c r="D13" s="36" t="s">
        <x:v>29</x:v>
      </x:c>
      <x:c r="E13" s="37" t="s">
        <x:v>30</x:v>
      </x:c>
      <x:c r="F13" s="36" t="s">
        <x:v>29</x:v>
      </x:c>
      <x:c r="G13" s="37" t="s">
        <x:v>31</x:v>
      </x:c>
      <x:c r="H13" s="38" t="s">
        <x:v>81</x:v>
      </x:c>
      <x:c r="I13" s="39" t="s">
        <x:v>82</x:v>
      </x:c>
      <x:c r="J13" s="36" t="s">
        <x:v>86</x:v>
      </x:c>
      <x:c r="K13" s="37" t="s">
        <x:v>87</x:v>
      </x:c>
      <x:c r="L13" s="36" t="s">
        <x:v>74</x:v>
      </x:c>
      <x:c r="M13" s="36" t="s">
        <x:v>75</x:v>
      </x:c>
      <x:c r="N13" s="40" t="s">
        <x:v>76</x:v>
      </x:c>
      <x:c r="O13" s="36" t="s">
        <x:v>38</x:v>
      </x:c>
      <x:c r="P13" s="37" t="s">
        <x:v>88</x:v>
      </x:c>
      <x:c r="Q13" s="36" t="s">
        <x:v>40</x:v>
      </x:c>
      <x:c r="R13" s="41" t="s">
        <x:v>86</x:v>
      </x:c>
      <x:c r="S13" s="37"/>
      <x:c r="T13" s="42" t="s">
        <x:v>30</x:v>
      </x:c>
      <x:c r="U13" s="43" t="s">
        <x:v>41</x:v>
      </x:c>
      <x:c r="V13" s="43" t="s">
        <x:v>42</x:v>
      </x:c>
      <x:c r="W13" s="8" t="str">
        <x:f>+VLOOKUP($A13,'TMS- NODE'!$A$6:$N$260,6,0)</x:f>
        <x:v>107.596236607452,16.4830332908594</x:v>
      </x:c>
    </x:row>
    <x:row r="14">
      <x:c r="A14" s="34" t="s">
        <x:v>89</x:v>
      </x:c>
      <x:c r="B14" s="35" t="s">
        <x:v>90</x:v>
      </x:c>
      <x:c r="C14" s="36" t="s">
        <x:v>28</x:v>
      </x:c>
      <x:c r="D14" s="36" t="s">
        <x:v>29</x:v>
      </x:c>
      <x:c r="E14" s="37" t="s">
        <x:v>30</x:v>
      </x:c>
      <x:c r="F14" s="36" t="s">
        <x:v>29</x:v>
      </x:c>
      <x:c r="G14" s="37" t="s">
        <x:v>31</x:v>
      </x:c>
      <x:c r="H14" s="38" t="s">
        <x:v>54</x:v>
      </x:c>
      <x:c r="I14" s="39" t="s">
        <x:v>55</x:v>
      </x:c>
      <x:c r="J14" s="36" t="s">
        <x:v>90</x:v>
      </x:c>
      <x:c r="K14" s="37" t="s">
        <x:v>91</x:v>
      </x:c>
      <x:c r="L14" s="36" t="s">
        <x:v>92</x:v>
      </x:c>
      <x:c r="M14" s="36" t="s">
        <x:v>93</x:v>
      </x:c>
      <x:c r="N14" s="40" t="s">
        <x:v>94</x:v>
      </x:c>
      <x:c r="O14" s="36" t="s">
        <x:v>38</x:v>
      </x:c>
      <x:c r="P14" s="37" t="s">
        <x:v>95</x:v>
      </x:c>
      <x:c r="Q14" s="36" t="s">
        <x:v>40</x:v>
      </x:c>
      <x:c r="R14" s="41" t="s">
        <x:v>96</x:v>
      </x:c>
      <x:c r="S14" s="37"/>
      <x:c r="T14" s="42" t="s">
        <x:v>30</x:v>
      </x:c>
      <x:c r="U14" s="43" t="s">
        <x:v>41</x:v>
      </x:c>
      <x:c r="V14" s="43" t="s">
        <x:v>42</x:v>
      </x:c>
      <x:c r="W14" s="8" t="str">
        <x:f>+VLOOKUP($A14,'TMS- NODE'!$A$6:$N$260,6,0)</x:f>
        <x:v>106.674438345648,10.8079230948855</x:v>
      </x:c>
    </x:row>
    <x:row r="15">
      <x:c r="A15" s="34" t="s">
        <x:v>97</x:v>
      </x:c>
      <x:c r="B15" s="35" t="s">
        <x:v>98</x:v>
      </x:c>
      <x:c r="C15" s="36" t="s">
        <x:v>28</x:v>
      </x:c>
      <x:c r="D15" s="36" t="s">
        <x:v>29</x:v>
      </x:c>
      <x:c r="E15" s="37" t="s">
        <x:v>30</x:v>
      </x:c>
      <x:c r="F15" s="36" t="s">
        <x:v>29</x:v>
      </x:c>
      <x:c r="G15" s="37" t="s">
        <x:v>31</x:v>
      </x:c>
      <x:c r="H15" s="38" t="s">
        <x:v>99</x:v>
      </x:c>
      <x:c r="I15" s="39" t="s">
        <x:v>100</x:v>
      </x:c>
      <x:c r="J15" s="36" t="s">
        <x:v>98</x:v>
      </x:c>
      <x:c r="K15" s="37" t="s">
        <x:v>101</x:v>
      </x:c>
      <x:c r="L15" s="36" t="s">
        <x:v>102</x:v>
      </x:c>
      <x:c r="M15" s="36" t="s">
        <x:v>103</x:v>
      </x:c>
      <x:c r="N15" s="40" t="s">
        <x:v>104</x:v>
      </x:c>
      <x:c r="O15" s="36" t="s">
        <x:v>38</x:v>
      </x:c>
      <x:c r="P15" s="37" t="s">
        <x:v>105</x:v>
      </x:c>
      <x:c r="Q15" s="36" t="s">
        <x:v>40</x:v>
      </x:c>
      <x:c r="R15" s="41" t="s">
        <x:v>106</x:v>
      </x:c>
      <x:c r="S15" s="37"/>
      <x:c r="T15" s="42" t="s">
        <x:v>30</x:v>
      </x:c>
      <x:c r="U15" s="43" t="s">
        <x:v>41</x:v>
      </x:c>
      <x:c r="V15" s="43" t="s">
        <x:v>42</x:v>
      </x:c>
      <x:c r="W15" s="8" t="str">
        <x:f>+VLOOKUP($A15,'TMS- NODE'!$A$6:$N$260,6,0)</x:f>
        <x:v>107.888440291591,16.3684953162197</x:v>
      </x:c>
    </x:row>
    <x:row r="16">
      <x:c r="A16" s="34" t="s">
        <x:v>107</x:v>
      </x:c>
      <x:c r="B16" s="44" t="s">
        <x:v>108</x:v>
      </x:c>
      <x:c r="C16" s="45" t="s">
        <x:v>28</x:v>
      </x:c>
      <x:c r="D16" s="45" t="s">
        <x:v>29</x:v>
      </x:c>
      <x:c r="E16" s="46" t="s">
        <x:v>30</x:v>
      </x:c>
      <x:c r="F16" s="45" t="s">
        <x:v>29</x:v>
      </x:c>
      <x:c r="G16" s="46" t="s">
        <x:v>31</x:v>
      </x:c>
      <x:c r="H16" s="47" t="s">
        <x:v>54</x:v>
      </x:c>
      <x:c r="I16" s="48" t="s">
        <x:v>55</x:v>
      </x:c>
      <x:c r="J16" s="45" t="s">
        <x:v>108</x:v>
      </x:c>
      <x:c r="K16" s="46" t="s">
        <x:v>109</x:v>
      </x:c>
      <x:c r="L16" s="45" t="s">
        <x:v>110</x:v>
      </x:c>
      <x:c r="M16" s="45" t="s">
        <x:v>111</x:v>
      </x:c>
      <x:c r="N16" s="49" t="s">
        <x:v>112</x:v>
      </x:c>
      <x:c r="O16" s="45" t="s">
        <x:v>113</x:v>
      </x:c>
      <x:c r="P16" s="46" t="s">
        <x:v>114</x:v>
      </x:c>
      <x:c r="Q16" s="45" t="s">
        <x:v>115</x:v>
      </x:c>
      <x:c r="R16" s="50" t="s">
        <x:v>116</x:v>
      </x:c>
      <x:c r="S16" s="46"/>
      <x:c r="T16" s="42" t="s">
        <x:v>30</x:v>
      </x:c>
      <x:c r="U16" s="43" t="s">
        <x:v>41</x:v>
      </x:c>
      <x:c r="V16" s="43" t="s">
        <x:v>117</x:v>
      </x:c>
      <x:c r="W16" s="8" t="str">
        <x:f>+VLOOKUP($A16,'TMS- NODE'!$A$6:$N$260,6,0)</x:f>
        <x:v>107.5904001,16.46485889</x:v>
      </x:c>
    </x:row>
    <x:row r="17">
      <x:c r="A17" s="34" t="s">
        <x:v>118</x:v>
      </x:c>
      <x:c r="B17" s="44" t="s">
        <x:v>119</x:v>
      </x:c>
      <x:c r="C17" s="45" t="s">
        <x:v>28</x:v>
      </x:c>
      <x:c r="D17" s="45" t="s">
        <x:v>29</x:v>
      </x:c>
      <x:c r="E17" s="46" t="s">
        <x:v>30</x:v>
      </x:c>
      <x:c r="F17" s="45" t="s">
        <x:v>29</x:v>
      </x:c>
      <x:c r="G17" s="46" t="s">
        <x:v>31</x:v>
      </x:c>
      <x:c r="H17" s="47" t="s">
        <x:v>120</x:v>
      </x:c>
      <x:c r="I17" s="48" t="s">
        <x:v>121</x:v>
      </x:c>
      <x:c r="J17" s="45" t="s">
        <x:v>119</x:v>
      </x:c>
      <x:c r="K17" s="46" t="s">
        <x:v>122</x:v>
      </x:c>
      <x:c r="L17" s="45" t="s">
        <x:v>123</x:v>
      </x:c>
      <x:c r="M17" s="45" t="s">
        <x:v>124</x:v>
      </x:c>
      <x:c r="N17" s="49" t="s">
        <x:v>125</x:v>
      </x:c>
      <x:c r="O17" s="45" t="s">
        <x:v>113</x:v>
      </x:c>
      <x:c r="P17" s="46" t="s">
        <x:v>126</x:v>
      </x:c>
      <x:c r="Q17" s="45" t="s">
        <x:v>115</x:v>
      </x:c>
      <x:c r="R17" s="50" t="s">
        <x:v>127</x:v>
      </x:c>
      <x:c r="S17" s="46"/>
      <x:c r="T17" s="42" t="s">
        <x:v>30</x:v>
      </x:c>
      <x:c r="U17" s="43" t="s">
        <x:v>41</x:v>
      </x:c>
      <x:c r="V17" s="43" t="s">
        <x:v>117</x:v>
      </x:c>
      <x:c r="W17" s="8" t="str">
        <x:f>+VLOOKUP($A17,'TMS- NODE'!$A$6:$N$260,6,0)</x:f>
        <x:v>107.5115291,16.57465411</x:v>
      </x:c>
    </x:row>
    <x:row r="18">
      <x:c r="A18" s="34" t="s">
        <x:v>128</x:v>
      </x:c>
      <x:c r="B18" s="44" t="s">
        <x:v>129</x:v>
      </x:c>
      <x:c r="C18" s="45" t="s">
        <x:v>28</x:v>
      </x:c>
      <x:c r="D18" s="45" t="s">
        <x:v>29</x:v>
      </x:c>
      <x:c r="E18" s="46" t="s">
        <x:v>30</x:v>
      </x:c>
      <x:c r="F18" s="45" t="s">
        <x:v>29</x:v>
      </x:c>
      <x:c r="G18" s="46" t="s">
        <x:v>31</x:v>
      </x:c>
      <x:c r="H18" s="47" t="s">
        <x:v>32</x:v>
      </x:c>
      <x:c r="I18" s="48" t="s">
        <x:v>33</x:v>
      </x:c>
      <x:c r="J18" s="45" t="s">
        <x:v>129</x:v>
      </x:c>
      <x:c r="K18" s="46" t="s">
        <x:v>130</x:v>
      </x:c>
      <x:c r="L18" s="45" t="s">
        <x:v>131</x:v>
      </x:c>
      <x:c r="M18" s="45" t="s">
        <x:v>132</x:v>
      </x:c>
      <x:c r="N18" s="49" t="s">
        <x:v>133</x:v>
      </x:c>
      <x:c r="O18" s="45" t="s">
        <x:v>113</x:v>
      </x:c>
      <x:c r="P18" s="46" t="s">
        <x:v>134</x:v>
      </x:c>
      <x:c r="Q18" s="45" t="s">
        <x:v>115</x:v>
      </x:c>
      <x:c r="R18" s="50" t="s">
        <x:v>135</x:v>
      </x:c>
      <x:c r="S18" s="46"/>
      <x:c r="T18" s="42" t="s">
        <x:v>30</x:v>
      </x:c>
      <x:c r="U18" s="43" t="s">
        <x:v>41</x:v>
      </x:c>
      <x:c r="V18" s="43" t="s">
        <x:v>117</x:v>
      </x:c>
      <x:c r="W18" s="8" t="str">
        <x:f>+VLOOKUP($A18,'TMS- NODE'!$A$6:$N$260,6,0)</x:f>
        <x:v>107.3644227,16.58217964</x:v>
      </x:c>
    </x:row>
    <x:row r="19">
      <x:c r="A19" s="34" t="s">
        <x:v>136</x:v>
      </x:c>
      <x:c r="B19" s="44" t="s">
        <x:v>137</x:v>
      </x:c>
      <x:c r="C19" s="45" t="s">
        <x:v>28</x:v>
      </x:c>
      <x:c r="D19" s="45" t="s">
        <x:v>29</x:v>
      </x:c>
      <x:c r="E19" s="46" t="s">
        <x:v>30</x:v>
      </x:c>
      <x:c r="F19" s="45" t="s">
        <x:v>29</x:v>
      </x:c>
      <x:c r="G19" s="46" t="s">
        <x:v>31</x:v>
      </x:c>
      <x:c r="H19" s="47" t="s">
        <x:v>138</x:v>
      </x:c>
      <x:c r="I19" s="48" t="s">
        <x:v>139</x:v>
      </x:c>
      <x:c r="J19" s="45" t="s">
        <x:v>137</x:v>
      </x:c>
      <x:c r="K19" s="46" t="s">
        <x:v>140</x:v>
      </x:c>
      <x:c r="L19" s="45" t="s">
        <x:v>141</x:v>
      </x:c>
      <x:c r="M19" s="45" t="s">
        <x:v>142</x:v>
      </x:c>
      <x:c r="N19" s="49" t="s">
        <x:v>143</x:v>
      </x:c>
      <x:c r="O19" s="45" t="s">
        <x:v>113</x:v>
      </x:c>
      <x:c r="P19" s="46" t="s">
        <x:v>144</x:v>
      </x:c>
      <x:c r="Q19" s="45" t="s">
        <x:v>115</x:v>
      </x:c>
      <x:c r="R19" s="50" t="s">
        <x:v>145</x:v>
      </x:c>
      <x:c r="S19" s="46"/>
      <x:c r="T19" s="42" t="s">
        <x:v>30</x:v>
      </x:c>
      <x:c r="U19" s="43" t="s">
        <x:v>41</x:v>
      </x:c>
      <x:c r="V19" s="43" t="s">
        <x:v>117</x:v>
      </x:c>
      <x:c r="W19" s="8" t="str">
        <x:f>+VLOOKUP($A19,'TMS- NODE'!$A$6:$N$260,6,0)</x:f>
        <x:v>107.4761979,16.52520796</x:v>
      </x:c>
    </x:row>
    <x:row r="20">
      <x:c r="A20" s="34" t="s">
        <x:v>146</x:v>
      </x:c>
      <x:c r="B20" s="44" t="s">
        <x:v>147</x:v>
      </x:c>
      <x:c r="C20" s="45" t="s">
        <x:v>28</x:v>
      </x:c>
      <x:c r="D20" s="45" t="s">
        <x:v>29</x:v>
      </x:c>
      <x:c r="E20" s="46" t="s">
        <x:v>30</x:v>
      </x:c>
      <x:c r="F20" s="45" t="s">
        <x:v>29</x:v>
      </x:c>
      <x:c r="G20" s="46" t="s">
        <x:v>31</x:v>
      </x:c>
      <x:c r="H20" s="47" t="s">
        <x:v>148</x:v>
      </x:c>
      <x:c r="I20" s="48" t="s">
        <x:v>149</x:v>
      </x:c>
      <x:c r="J20" s="45" t="s">
        <x:v>147</x:v>
      </x:c>
      <x:c r="K20" s="46" t="s">
        <x:v>150</x:v>
      </x:c>
      <x:c r="L20" s="45" t="s">
        <x:v>151</x:v>
      </x:c>
      <x:c r="M20" s="45" t="s">
        <x:v>152</x:v>
      </x:c>
      <x:c r="N20" s="49" t="s">
        <x:v>153</x:v>
      </x:c>
      <x:c r="O20" s="45" t="s">
        <x:v>113</x:v>
      </x:c>
      <x:c r="P20" s="46" t="s">
        <x:v>154</x:v>
      </x:c>
      <x:c r="Q20" s="45" t="s">
        <x:v>115</x:v>
      </x:c>
      <x:c r="R20" s="50" t="s">
        <x:v>155</x:v>
      </x:c>
      <x:c r="S20" s="46"/>
      <x:c r="T20" s="42" t="s">
        <x:v>30</x:v>
      </x:c>
      <x:c r="U20" s="43" t="s">
        <x:v>41</x:v>
      </x:c>
      <x:c r="V20" s="43" t="s">
        <x:v>117</x:v>
      </x:c>
      <x:c r="W20" s="8" t="str">
        <x:f>+VLOOKUP($A20,'TMS- NODE'!$A$6:$N$260,6,0)</x:f>
        <x:v>107.2319162,16.27355879</x:v>
      </x:c>
    </x:row>
    <x:row r="21">
      <x:c r="A21" s="34" t="s">
        <x:v>156</x:v>
      </x:c>
      <x:c r="B21" s="44" t="s">
        <x:v>157</x:v>
      </x:c>
      <x:c r="C21" s="45" t="s">
        <x:v>28</x:v>
      </x:c>
      <x:c r="D21" s="45" t="s">
        <x:v>29</x:v>
      </x:c>
      <x:c r="E21" s="46" t="s">
        <x:v>30</x:v>
      </x:c>
      <x:c r="F21" s="45" t="s">
        <x:v>29</x:v>
      </x:c>
      <x:c r="G21" s="46" t="s">
        <x:v>31</x:v>
      </x:c>
      <x:c r="H21" s="47" t="s">
        <x:v>45</x:v>
      </x:c>
      <x:c r="I21" s="48" t="s">
        <x:v>46</x:v>
      </x:c>
      <x:c r="J21" s="45" t="s">
        <x:v>157</x:v>
      </x:c>
      <x:c r="K21" s="46" t="s">
        <x:v>158</x:v>
      </x:c>
      <x:c r="L21" s="45" t="s">
        <x:v>48</x:v>
      </x:c>
      <x:c r="M21" s="45" t="s">
        <x:v>49</x:v>
      </x:c>
      <x:c r="N21" s="49" t="s">
        <x:v>50</x:v>
      </x:c>
      <x:c r="O21" s="45" t="s">
        <x:v>113</x:v>
      </x:c>
      <x:c r="P21" s="46" t="s">
        <x:v>159</x:v>
      </x:c>
      <x:c r="Q21" s="45" t="s">
        <x:v>115</x:v>
      </x:c>
      <x:c r="R21" s="50" t="s">
        <x:v>160</x:v>
      </x:c>
      <x:c r="S21" s="46"/>
      <x:c r="T21" s="42" t="s">
        <x:v>30</x:v>
      </x:c>
      <x:c r="U21" s="43" t="s">
        <x:v>41</x:v>
      </x:c>
      <x:c r="V21" s="43" t="s">
        <x:v>117</x:v>
      </x:c>
      <x:c r="W21" s="8" t="str">
        <x:f>+VLOOKUP($A21,'TMS- NODE'!$A$6:$N$260,6,0)</x:f>
        <x:v>107.6736411,16.41174736</x:v>
      </x:c>
    </x:row>
    <x:row r="22">
      <x:c r="A22" s="34" t="s">
        <x:v>161</x:v>
      </x:c>
      <x:c r="B22" s="44" t="s">
        <x:v>162</x:v>
      </x:c>
      <x:c r="C22" s="45" t="s">
        <x:v>28</x:v>
      </x:c>
      <x:c r="D22" s="45" t="s">
        <x:v>29</x:v>
      </x:c>
      <x:c r="E22" s="46" t="s">
        <x:v>30</x:v>
      </x:c>
      <x:c r="F22" s="45" t="s">
        <x:v>29</x:v>
      </x:c>
      <x:c r="G22" s="46" t="s">
        <x:v>31</x:v>
      </x:c>
      <x:c r="H22" s="47" t="s">
        <x:v>163</x:v>
      </x:c>
      <x:c r="I22" s="48" t="s">
        <x:v>164</x:v>
      </x:c>
      <x:c r="J22" s="45" t="s">
        <x:v>162</x:v>
      </x:c>
      <x:c r="K22" s="46" t="s">
        <x:v>165</x:v>
      </x:c>
      <x:c r="L22" s="45" t="s">
        <x:v>166</x:v>
      </x:c>
      <x:c r="M22" s="45" t="s">
        <x:v>167</x:v>
      </x:c>
      <x:c r="N22" s="49" t="s">
        <x:v>168</x:v>
      </x:c>
      <x:c r="O22" s="45" t="s">
        <x:v>113</x:v>
      </x:c>
      <x:c r="P22" s="46" t="s">
        <x:v>169</x:v>
      </x:c>
      <x:c r="Q22" s="45" t="s">
        <x:v>115</x:v>
      </x:c>
      <x:c r="R22" s="50" t="s">
        <x:v>170</x:v>
      </x:c>
      <x:c r="S22" s="46"/>
      <x:c r="T22" s="42" t="s">
        <x:v>30</x:v>
      </x:c>
      <x:c r="U22" s="43" t="s">
        <x:v>41</x:v>
      </x:c>
      <x:c r="V22" s="43" t="s">
        <x:v>117</x:v>
      </x:c>
      <x:c r="W22" s="8" t="str">
        <x:f>+VLOOKUP($A22,'TMS- NODE'!$A$6:$N$260,6,0)</x:f>
        <x:v>107.7186032,16.16766284</x:v>
      </x:c>
    </x:row>
    <x:row r="23">
      <x:c r="A23" s="34" t="s">
        <x:v>171</x:v>
      </x:c>
      <x:c r="B23" s="44" t="s">
        <x:v>172</x:v>
      </x:c>
      <x:c r="C23" s="45" t="s">
        <x:v>28</x:v>
      </x:c>
      <x:c r="D23" s="45" t="s">
        <x:v>29</x:v>
      </x:c>
      <x:c r="E23" s="46" t="s">
        <x:v>30</x:v>
      </x:c>
      <x:c r="F23" s="45" t="s">
        <x:v>29</x:v>
      </x:c>
      <x:c r="G23" s="46" t="s">
        <x:v>31</x:v>
      </x:c>
      <x:c r="H23" s="47" t="s">
        <x:v>64</x:v>
      </x:c>
      <x:c r="I23" s="48" t="s">
        <x:v>65</x:v>
      </x:c>
      <x:c r="J23" s="45" t="s">
        <x:v>172</x:v>
      </x:c>
      <x:c r="K23" s="46" t="s">
        <x:v>173</x:v>
      </x:c>
      <x:c r="L23" s="45" t="s">
        <x:v>174</x:v>
      </x:c>
      <x:c r="M23" s="45" t="s">
        <x:v>175</x:v>
      </x:c>
      <x:c r="N23" s="49" t="s">
        <x:v>176</x:v>
      </x:c>
      <x:c r="O23" s="45" t="s">
        <x:v>113</x:v>
      </x:c>
      <x:c r="P23" s="46" t="s">
        <x:v>177</x:v>
      </x:c>
      <x:c r="Q23" s="45" t="s">
        <x:v>115</x:v>
      </x:c>
      <x:c r="R23" s="50" t="s">
        <x:v>178</x:v>
      </x:c>
      <x:c r="S23" s="46"/>
      <x:c r="T23" s="42" t="s">
        <x:v>30</x:v>
      </x:c>
      <x:c r="U23" s="43" t="s">
        <x:v>41</x:v>
      </x:c>
      <x:c r="V23" s="43" t="s">
        <x:v>117</x:v>
      </x:c>
      <x:c r="W23" s="8" t="str">
        <x:f>+VLOOKUP($A23,'TMS- NODE'!$A$6:$N$260,6,0)</x:f>
        <x:v>107.7145004,16.44638613</x:v>
      </x:c>
    </x:row>
    <x:row r="24">
      <x:c r="A24" s="34" t="s">
        <x:v>179</x:v>
      </x:c>
      <x:c r="B24" s="44" t="s">
        <x:v>180</x:v>
      </x:c>
      <x:c r="C24" s="45" t="s">
        <x:v>28</x:v>
      </x:c>
      <x:c r="D24" s="45" t="s">
        <x:v>29</x:v>
      </x:c>
      <x:c r="E24" s="46" t="s">
        <x:v>30</x:v>
      </x:c>
      <x:c r="F24" s="45" t="s">
        <x:v>29</x:v>
      </x:c>
      <x:c r="G24" s="46" t="s">
        <x:v>31</x:v>
      </x:c>
      <x:c r="H24" s="47" t="s">
        <x:v>99</x:v>
      </x:c>
      <x:c r="I24" s="48" t="s">
        <x:v>100</x:v>
      </x:c>
      <x:c r="J24" s="45" t="s">
        <x:v>180</x:v>
      </x:c>
      <x:c r="K24" s="46" t="s">
        <x:v>181</x:v>
      </x:c>
      <x:c r="L24" s="45" t="s">
        <x:v>182</x:v>
      </x:c>
      <x:c r="M24" s="45" t="s">
        <x:v>183</x:v>
      </x:c>
      <x:c r="N24" s="49" t="s">
        <x:v>184</x:v>
      </x:c>
      <x:c r="O24" s="45" t="s">
        <x:v>113</x:v>
      </x:c>
      <x:c r="P24" s="46" t="s">
        <x:v>185</x:v>
      </x:c>
      <x:c r="Q24" s="45" t="s">
        <x:v>115</x:v>
      </x:c>
      <x:c r="R24" s="50" t="s">
        <x:v>186</x:v>
      </x:c>
      <x:c r="S24" s="46"/>
      <x:c r="T24" s="42" t="s">
        <x:v>30</x:v>
      </x:c>
      <x:c r="U24" s="43" t="s">
        <x:v>41</x:v>
      </x:c>
      <x:c r="V24" s="43" t="s">
        <x:v>117</x:v>
      </x:c>
      <x:c r="W24" s="8" t="str">
        <x:f>+VLOOKUP($A24,'TMS- NODE'!$A$6:$N$260,6,0)</x:f>
        <x:v>107.859998259455,16.2803534504623</x:v>
      </x:c>
    </x:row>
    <x:row r="25">
      <x:c r="A25" s="34" t="s">
        <x:v>187</x:v>
      </x:c>
      <x:c r="B25" s="44" t="s">
        <x:v>188</x:v>
      </x:c>
      <x:c r="C25" s="45" t="s">
        <x:v>28</x:v>
      </x:c>
      <x:c r="D25" s="45" t="s">
        <x:v>29</x:v>
      </x:c>
      <x:c r="E25" s="46" t="s">
        <x:v>30</x:v>
      </x:c>
      <x:c r="F25" s="45" t="s">
        <x:v>29</x:v>
      </x:c>
      <x:c r="G25" s="46" t="s">
        <x:v>31</x:v>
      </x:c>
      <x:c r="H25" s="47" t="s">
        <x:v>54</x:v>
      </x:c>
      <x:c r="I25" s="48" t="s">
        <x:v>55</x:v>
      </x:c>
      <x:c r="J25" s="45" t="s">
        <x:v>188</x:v>
      </x:c>
      <x:c r="K25" s="46" t="s">
        <x:v>189</x:v>
      </x:c>
      <x:c r="L25" s="45" t="s">
        <x:v>110</x:v>
      </x:c>
      <x:c r="M25" s="45" t="s">
        <x:v>111</x:v>
      </x:c>
      <x:c r="N25" s="49" t="s">
        <x:v>112</x:v>
      </x:c>
      <x:c r="O25" s="45" t="s">
        <x:v>113</x:v>
      </x:c>
      <x:c r="P25" s="46" t="s">
        <x:v>190</x:v>
      </x:c>
      <x:c r="Q25" s="45" t="s">
        <x:v>115</x:v>
      </x:c>
      <x:c r="R25" s="50" t="s">
        <x:v>191</x:v>
      </x:c>
      <x:c r="S25" s="46"/>
      <x:c r="T25" s="42" t="s">
        <x:v>30</x:v>
      </x:c>
      <x:c r="U25" s="43" t="s">
        <x:v>41</x:v>
      </x:c>
      <x:c r="V25" s="43" t="s">
        <x:v>117</x:v>
      </x:c>
      <x:c r="W25" s="8" t="str">
        <x:f>+VLOOKUP($A25,'TMS- NODE'!$A$6:$N$260,6,0)</x:f>
        <x:v>107.584734388574,16.4618749932253</x:v>
      </x:c>
    </x:row>
    <x:row r="26">
      <x:c r="A26" s="34" t="s">
        <x:v>192</x:v>
      </x:c>
      <x:c r="B26" s="44" t="s">
        <x:v>193</x:v>
      </x:c>
      <x:c r="C26" s="45" t="s">
        <x:v>28</x:v>
      </x:c>
      <x:c r="D26" s="45" t="s">
        <x:v>29</x:v>
      </x:c>
      <x:c r="E26" s="46" t="s">
        <x:v>30</x:v>
      </x:c>
      <x:c r="F26" s="45" t="s">
        <x:v>29</x:v>
      </x:c>
      <x:c r="G26" s="46" t="s">
        <x:v>31</x:v>
      </x:c>
      <x:c r="H26" s="47" t="s">
        <x:v>194</x:v>
      </x:c>
      <x:c r="I26" s="48" t="s">
        <x:v>195</x:v>
      </x:c>
      <x:c r="J26" s="45" t="s">
        <x:v>193</x:v>
      </x:c>
      <x:c r="K26" s="46" t="s">
        <x:v>196</x:v>
      </x:c>
      <x:c r="L26" s="45" t="s">
        <x:v>110</x:v>
      </x:c>
      <x:c r="M26" s="45" t="s">
        <x:v>111</x:v>
      </x:c>
      <x:c r="N26" s="49" t="s">
        <x:v>112</x:v>
      </x:c>
      <x:c r="O26" s="45" t="s">
        <x:v>113</x:v>
      </x:c>
      <x:c r="P26" s="46" t="s">
        <x:v>197</x:v>
      </x:c>
      <x:c r="Q26" s="45" t="s">
        <x:v>115</x:v>
      </x:c>
      <x:c r="R26" s="50" t="s">
        <x:v>198</x:v>
      </x:c>
      <x:c r="S26" s="46"/>
      <x:c r="T26" s="42" t="s">
        <x:v>30</x:v>
      </x:c>
      <x:c r="U26" s="43" t="s">
        <x:v>41</x:v>
      </x:c>
      <x:c r="V26" s="43" t="s">
        <x:v>117</x:v>
      </x:c>
      <x:c r="W26" s="8" t="str">
        <x:f>+VLOOKUP($A26,'TMS- NODE'!$A$6:$N$260,6,0)</x:f>
        <x:v>107.590361744488,16.4648889303289</x:v>
      </x:c>
    </x:row>
    <x:row r="27">
      <x:c r="A27" s="34" t="s">
        <x:v>199</x:v>
      </x:c>
      <x:c r="B27" s="44" t="s">
        <x:v>200</x:v>
      </x:c>
      <x:c r="C27" s="45" t="s">
        <x:v>28</x:v>
      </x:c>
      <x:c r="D27" s="45" t="s">
        <x:v>29</x:v>
      </x:c>
      <x:c r="E27" s="46" t="s">
        <x:v>30</x:v>
      </x:c>
      <x:c r="F27" s="45" t="s">
        <x:v>29</x:v>
      </x:c>
      <x:c r="G27" s="46" t="s">
        <x:v>31</x:v>
      </x:c>
      <x:c r="H27" s="47" t="s">
        <x:v>201</x:v>
      </x:c>
      <x:c r="I27" s="48" t="s">
        <x:v>202</x:v>
      </x:c>
      <x:c r="J27" s="45" t="s">
        <x:v>200</x:v>
      </x:c>
      <x:c r="K27" s="46" t="s">
        <x:v>203</x:v>
      </x:c>
      <x:c r="L27" s="45" t="s">
        <x:v>92</x:v>
      </x:c>
      <x:c r="M27" s="45" t="s">
        <x:v>93</x:v>
      </x:c>
      <x:c r="N27" s="49" t="s">
        <x:v>94</x:v>
      </x:c>
      <x:c r="O27" s="45" t="s">
        <x:v>113</x:v>
      </x:c>
      <x:c r="P27" s="46" t="s">
        <x:v>204</x:v>
      </x:c>
      <x:c r="Q27" s="45" t="s">
        <x:v>115</x:v>
      </x:c>
      <x:c r="R27" s="50" t="s">
        <x:v>205</x:v>
      </x:c>
      <x:c r="S27" s="46"/>
      <x:c r="T27" s="42" t="s">
        <x:v>30</x:v>
      </x:c>
      <x:c r="U27" s="43" t="s">
        <x:v>41</x:v>
      </x:c>
      <x:c r="V27" s="43" t="s">
        <x:v>117</x:v>
      </x:c>
      <x:c r="W27" s="8" t="str">
        <x:f>+VLOOKUP($A27,'TMS- NODE'!$A$6:$N$260,6,0)</x:f>
        <x:v>107.5861694,16.46970258</x:v>
      </x:c>
    </x:row>
    <x:row r="28">
      <x:c r="A28" s="34" t="s">
        <x:v>206</x:v>
      </x:c>
      <x:c r="B28" s="44" t="s">
        <x:v>207</x:v>
      </x:c>
      <x:c r="C28" s="45" t="s">
        <x:v>28</x:v>
      </x:c>
      <x:c r="D28" s="45" t="s">
        <x:v>29</x:v>
      </x:c>
      <x:c r="E28" s="46" t="s">
        <x:v>30</x:v>
      </x:c>
      <x:c r="F28" s="45" t="s">
        <x:v>29</x:v>
      </x:c>
      <x:c r="G28" s="46" t="s">
        <x:v>31</x:v>
      </x:c>
      <x:c r="H28" s="47" t="s">
        <x:v>201</x:v>
      </x:c>
      <x:c r="I28" s="48" t="s">
        <x:v>202</x:v>
      </x:c>
      <x:c r="J28" s="45" t="s">
        <x:v>207</x:v>
      </x:c>
      <x:c r="K28" s="46" t="s">
        <x:v>208</x:v>
      </x:c>
      <x:c r="L28" s="45" t="s">
        <x:v>92</x:v>
      </x:c>
      <x:c r="M28" s="45" t="s">
        <x:v>93</x:v>
      </x:c>
      <x:c r="N28" s="49" t="s">
        <x:v>94</x:v>
      </x:c>
      <x:c r="O28" s="45" t="s">
        <x:v>113</x:v>
      </x:c>
      <x:c r="P28" s="46" t="s">
        <x:v>209</x:v>
      </x:c>
      <x:c r="Q28" s="45" t="s">
        <x:v>115</x:v>
      </x:c>
      <x:c r="R28" s="50" t="s">
        <x:v>210</x:v>
      </x:c>
      <x:c r="S28" s="46"/>
      <x:c r="T28" s="42" t="s">
        <x:v>30</x:v>
      </x:c>
      <x:c r="U28" s="43" t="s">
        <x:v>41</x:v>
      </x:c>
      <x:c r="V28" s="43" t="s">
        <x:v>117</x:v>
      </x:c>
      <x:c r="W28" s="8" t="str">
        <x:f>+VLOOKUP($A28,'TMS- NODE'!$A$6:$N$260,6,0)</x:f>
        <x:v>107.5835337,16.47727333</x:v>
      </x:c>
    </x:row>
    <x:row r="29">
      <x:c r="A29" s="34" t="s">
        <x:v>211</x:v>
      </x:c>
      <x:c r="B29" s="44" t="s">
        <x:v>212</x:v>
      </x:c>
      <x:c r="C29" s="45" t="s">
        <x:v>28</x:v>
      </x:c>
      <x:c r="D29" s="45" t="s">
        <x:v>29</x:v>
      </x:c>
      <x:c r="E29" s="46" t="s">
        <x:v>30</x:v>
      </x:c>
      <x:c r="F29" s="45" t="s">
        <x:v>29</x:v>
      </x:c>
      <x:c r="G29" s="46" t="s">
        <x:v>31</x:v>
      </x:c>
      <x:c r="H29" s="47" t="s">
        <x:v>201</x:v>
      </x:c>
      <x:c r="I29" s="48" t="s">
        <x:v>202</x:v>
      </x:c>
      <x:c r="J29" s="45" t="s">
        <x:v>212</x:v>
      </x:c>
      <x:c r="K29" s="46" t="s">
        <x:v>213</x:v>
      </x:c>
      <x:c r="L29" s="45" t="s">
        <x:v>92</x:v>
      </x:c>
      <x:c r="M29" s="45" t="s">
        <x:v>93</x:v>
      </x:c>
      <x:c r="N29" s="49" t="s">
        <x:v>94</x:v>
      </x:c>
      <x:c r="O29" s="45" t="s">
        <x:v>113</x:v>
      </x:c>
      <x:c r="P29" s="46" t="s">
        <x:v>214</x:v>
      </x:c>
      <x:c r="Q29" s="45" t="s">
        <x:v>115</x:v>
      </x:c>
      <x:c r="R29" s="50" t="s">
        <x:v>215</x:v>
      </x:c>
      <x:c r="S29" s="46"/>
      <x:c r="T29" s="42" t="s">
        <x:v>30</x:v>
      </x:c>
      <x:c r="U29" s="43" t="s">
        <x:v>41</x:v>
      </x:c>
      <x:c r="V29" s="43" t="s">
        <x:v>117</x:v>
      </x:c>
      <x:c r="W29" s="8" t="str">
        <x:f>+VLOOKUP($A29,'TMS- NODE'!$A$6:$N$260,6,0)</x:f>
        <x:v>107.5683175,16.472913</x:v>
      </x:c>
    </x:row>
    <x:row r="30">
      <x:c r="A30" s="34" t="s">
        <x:v>216</x:v>
      </x:c>
      <x:c r="B30" s="44" t="s">
        <x:v>217</x:v>
      </x:c>
      <x:c r="C30" s="45" t="s">
        <x:v>28</x:v>
      </x:c>
      <x:c r="D30" s="45" t="s">
        <x:v>29</x:v>
      </x:c>
      <x:c r="E30" s="46" t="s">
        <x:v>30</x:v>
      </x:c>
      <x:c r="F30" s="45" t="s">
        <x:v>29</x:v>
      </x:c>
      <x:c r="G30" s="46" t="s">
        <x:v>31</x:v>
      </x:c>
      <x:c r="H30" s="47" t="s">
        <x:v>218</x:v>
      </x:c>
      <x:c r="I30" s="48" t="s">
        <x:v>219</x:v>
      </x:c>
      <x:c r="J30" s="45" t="s">
        <x:v>217</x:v>
      </x:c>
      <x:c r="K30" s="46" t="s">
        <x:v>220</x:v>
      </x:c>
      <x:c r="L30" s="45" t="s">
        <x:v>221</x:v>
      </x:c>
      <x:c r="M30" s="45" t="s">
        <x:v>222</x:v>
      </x:c>
      <x:c r="N30" s="49" t="s">
        <x:v>223</x:v>
      </x:c>
      <x:c r="O30" s="45" t="s">
        <x:v>113</x:v>
      </x:c>
      <x:c r="P30" s="46" t="s">
        <x:v>224</x:v>
      </x:c>
      <x:c r="Q30" s="45" t="s">
        <x:v>115</x:v>
      </x:c>
      <x:c r="R30" s="50" t="s">
        <x:v>225</x:v>
      </x:c>
      <x:c r="S30" s="46"/>
      <x:c r="T30" s="42" t="s">
        <x:v>30</x:v>
      </x:c>
      <x:c r="U30" s="43" t="s">
        <x:v>41</x:v>
      </x:c>
      <x:c r="V30" s="43" t="s">
        <x:v>117</x:v>
      </x:c>
      <x:c r="W30" s="8" t="str">
        <x:f>+VLOOKUP($A30,'TMS- NODE'!$A$6:$N$260,6,0)</x:f>
        <x:v>107.5602726,16.45802966</x:v>
      </x:c>
    </x:row>
    <x:row r="31">
      <x:c r="A31" s="34" t="s">
        <x:v>226</x:v>
      </x:c>
      <x:c r="B31" s="44" t="s">
        <x:v>227</x:v>
      </x:c>
      <x:c r="C31" s="45" t="s">
        <x:v>28</x:v>
      </x:c>
      <x:c r="D31" s="45" t="s">
        <x:v>29</x:v>
      </x:c>
      <x:c r="E31" s="46" t="s">
        <x:v>30</x:v>
      </x:c>
      <x:c r="F31" s="45" t="s">
        <x:v>29</x:v>
      </x:c>
      <x:c r="G31" s="46" t="s">
        <x:v>31</x:v>
      </x:c>
      <x:c r="H31" s="47" t="s">
        <x:v>228</x:v>
      </x:c>
      <x:c r="I31" s="48" t="s">
        <x:v>229</x:v>
      </x:c>
      <x:c r="J31" s="45" t="s">
        <x:v>227</x:v>
      </x:c>
      <x:c r="K31" s="46" t="s">
        <x:v>230</x:v>
      </x:c>
      <x:c r="L31" s="45" t="s">
        <x:v>231</x:v>
      </x:c>
      <x:c r="M31" s="45" t="s">
        <x:v>232</x:v>
      </x:c>
      <x:c r="N31" s="49" t="s">
        <x:v>233</x:v>
      </x:c>
      <x:c r="O31" s="45" t="s">
        <x:v>113</x:v>
      </x:c>
      <x:c r="P31" s="46" t="s">
        <x:v>234</x:v>
      </x:c>
      <x:c r="Q31" s="45" t="s">
        <x:v>115</x:v>
      </x:c>
      <x:c r="R31" s="50" t="s">
        <x:v>235</x:v>
      </x:c>
      <x:c r="S31" s="46"/>
      <x:c r="T31" s="42" t="s">
        <x:v>30</x:v>
      </x:c>
      <x:c r="U31" s="43" t="s">
        <x:v>41</x:v>
      </x:c>
      <x:c r="V31" s="43" t="s">
        <x:v>117</x:v>
      </x:c>
      <x:c r="W31" s="8" t="str">
        <x:f>+VLOOKUP($A31,'TMS- NODE'!$A$6:$N$260,6,0)</x:f>
        <x:v>107.5558025,16.48166481</x:v>
      </x:c>
    </x:row>
    <x:row r="32">
      <x:c r="A32" s="34" t="s">
        <x:v>236</x:v>
      </x:c>
      <x:c r="B32" s="44" t="s">
        <x:v>237</x:v>
      </x:c>
      <x:c r="C32" s="45" t="s">
        <x:v>28</x:v>
      </x:c>
      <x:c r="D32" s="45" t="s">
        <x:v>29</x:v>
      </x:c>
      <x:c r="E32" s="46" t="s">
        <x:v>30</x:v>
      </x:c>
      <x:c r="F32" s="45" t="s">
        <x:v>29</x:v>
      </x:c>
      <x:c r="G32" s="46" t="s">
        <x:v>31</x:v>
      </x:c>
      <x:c r="H32" s="47" t="s">
        <x:v>238</x:v>
      </x:c>
      <x:c r="I32" s="48" t="s">
        <x:v>239</x:v>
      </x:c>
      <x:c r="J32" s="45" t="s">
        <x:v>237</x:v>
      </x:c>
      <x:c r="K32" s="46" t="s">
        <x:v>240</x:v>
      </x:c>
      <x:c r="L32" s="45" t="s">
        <x:v>35</x:v>
      </x:c>
      <x:c r="M32" s="45" t="s">
        <x:v>36</x:v>
      </x:c>
      <x:c r="N32" s="49" t="s">
        <x:v>37</x:v>
      </x:c>
      <x:c r="O32" s="45" t="s">
        <x:v>113</x:v>
      </x:c>
      <x:c r="P32" s="46" t="s">
        <x:v>241</x:v>
      </x:c>
      <x:c r="Q32" s="45" t="s">
        <x:v>115</x:v>
      </x:c>
      <x:c r="R32" s="50" t="s">
        <x:v>242</x:v>
      </x:c>
      <x:c r="S32" s="46"/>
      <x:c r="T32" s="42" t="s">
        <x:v>30</x:v>
      </x:c>
      <x:c r="U32" s="43" t="s">
        <x:v>41</x:v>
      </x:c>
      <x:c r="V32" s="43" t="s">
        <x:v>117</x:v>
      </x:c>
      <x:c r="W32" s="8" t="str">
        <x:f>+VLOOKUP($A32,'TMS- NODE'!$A$6:$N$260,6,0)</x:f>
        <x:v>107.5494669,16.60910028</x:v>
      </x:c>
    </x:row>
    <x:row r="33">
      <x:c r="A33" s="34" t="s">
        <x:v>243</x:v>
      </x:c>
      <x:c r="B33" s="44" t="s">
        <x:v>244</x:v>
      </x:c>
      <x:c r="C33" s="45" t="s">
        <x:v>28</x:v>
      </x:c>
      <x:c r="D33" s="45" t="s">
        <x:v>29</x:v>
      </x:c>
      <x:c r="E33" s="46" t="s">
        <x:v>30</x:v>
      </x:c>
      <x:c r="F33" s="45" t="s">
        <x:v>29</x:v>
      </x:c>
      <x:c r="G33" s="46" t="s">
        <x:v>31</x:v>
      </x:c>
      <x:c r="H33" s="47" t="s">
        <x:v>245</x:v>
      </x:c>
      <x:c r="I33" s="48" t="s">
        <x:v>246</x:v>
      </x:c>
      <x:c r="J33" s="45" t="s">
        <x:v>244</x:v>
      </x:c>
      <x:c r="K33" s="46" t="s">
        <x:v>247</x:v>
      </x:c>
      <x:c r="L33" s="45" t="s">
        <x:v>248</x:v>
      </x:c>
      <x:c r="M33" s="45" t="s">
        <x:v>249</x:v>
      </x:c>
      <x:c r="N33" s="49" t="s">
        <x:v>250</x:v>
      </x:c>
      <x:c r="O33" s="45" t="s">
        <x:v>113</x:v>
      </x:c>
      <x:c r="P33" s="46" t="s">
        <x:v>251</x:v>
      </x:c>
      <x:c r="Q33" s="45" t="s">
        <x:v>115</x:v>
      </x:c>
      <x:c r="R33" s="50" t="s">
        <x:v>252</x:v>
      </x:c>
      <x:c r="S33" s="46"/>
      <x:c r="T33" s="42" t="s">
        <x:v>30</x:v>
      </x:c>
      <x:c r="U33" s="43" t="s">
        <x:v>41</x:v>
      </x:c>
      <x:c r="V33" s="43" t="s">
        <x:v>117</x:v>
      </x:c>
      <x:c r="W33" s="8" t="str">
        <x:f>+VLOOKUP($A33,'TMS- NODE'!$A$6:$N$260,6,0)</x:f>
        <x:v>107.4478192,16.66588393</x:v>
      </x:c>
    </x:row>
    <x:row r="34">
      <x:c r="A34" s="34" t="s">
        <x:v>253</x:v>
      </x:c>
      <x:c r="B34" s="44" t="s">
        <x:v>254</x:v>
      </x:c>
      <x:c r="C34" s="45" t="s">
        <x:v>28</x:v>
      </x:c>
      <x:c r="D34" s="45" t="s">
        <x:v>29</x:v>
      </x:c>
      <x:c r="E34" s="46" t="s">
        <x:v>30</x:v>
      </x:c>
      <x:c r="F34" s="45" t="s">
        <x:v>29</x:v>
      </x:c>
      <x:c r="G34" s="46" t="s">
        <x:v>31</x:v>
      </x:c>
      <x:c r="H34" s="47" t="s">
        <x:v>32</x:v>
      </x:c>
      <x:c r="I34" s="48" t="s">
        <x:v>33</x:v>
      </x:c>
      <x:c r="J34" s="45" t="s">
        <x:v>254</x:v>
      </x:c>
      <x:c r="K34" s="46" t="s">
        <x:v>255</x:v>
      </x:c>
      <x:c r="L34" s="45" t="s">
        <x:v>131</x:v>
      </x:c>
      <x:c r="M34" s="45" t="s">
        <x:v>132</x:v>
      </x:c>
      <x:c r="N34" s="49" t="s">
        <x:v>133</x:v>
      </x:c>
      <x:c r="O34" s="45" t="s">
        <x:v>113</x:v>
      </x:c>
      <x:c r="P34" s="46" t="s">
        <x:v>256</x:v>
      </x:c>
      <x:c r="Q34" s="45" t="s">
        <x:v>115</x:v>
      </x:c>
      <x:c r="R34" s="50" t="s">
        <x:v>257</x:v>
      </x:c>
      <x:c r="S34" s="46"/>
      <x:c r="T34" s="42" t="s">
        <x:v>30</x:v>
      </x:c>
      <x:c r="U34" s="43" t="s">
        <x:v>41</x:v>
      </x:c>
      <x:c r="V34" s="43" t="s">
        <x:v>117</x:v>
      </x:c>
      <x:c r="W34" s="8" t="str">
        <x:f>+VLOOKUP($A34,'TMS- NODE'!$A$6:$N$260,6,0)</x:f>
        <x:v>107.362093,16.5070219</x:v>
      </x:c>
    </x:row>
    <x:row r="35">
      <x:c r="A35" s="34" t="s">
        <x:v>258</x:v>
      </x:c>
      <x:c r="B35" s="44" t="s">
        <x:v>259</x:v>
      </x:c>
      <x:c r="C35" s="45" t="s">
        <x:v>28</x:v>
      </x:c>
      <x:c r="D35" s="45" t="s">
        <x:v>29</x:v>
      </x:c>
      <x:c r="E35" s="46" t="s">
        <x:v>30</x:v>
      </x:c>
      <x:c r="F35" s="45" t="s">
        <x:v>29</x:v>
      </x:c>
      <x:c r="G35" s="46" t="s">
        <x:v>31</x:v>
      </x:c>
      <x:c r="H35" s="47" t="s">
        <x:v>260</x:v>
      </x:c>
      <x:c r="I35" s="48" t="s">
        <x:v>261</x:v>
      </x:c>
      <x:c r="J35" s="45" t="s">
        <x:v>259</x:v>
      </x:c>
      <x:c r="K35" s="46" t="s">
        <x:v>262</x:v>
      </x:c>
      <x:c r="L35" s="45" t="s">
        <x:v>263</x:v>
      </x:c>
      <x:c r="M35" s="45" t="s">
        <x:v>264</x:v>
      </x:c>
      <x:c r="N35" s="49" t="s">
        <x:v>265</x:v>
      </x:c>
      <x:c r="O35" s="45" t="s">
        <x:v>113</x:v>
      </x:c>
      <x:c r="P35" s="46" t="s">
        <x:v>266</x:v>
      </x:c>
      <x:c r="Q35" s="45" t="s">
        <x:v>115</x:v>
      </x:c>
      <x:c r="R35" s="50" t="s">
        <x:v>267</x:v>
      </x:c>
      <x:c r="S35" s="46"/>
      <x:c r="T35" s="42" t="s">
        <x:v>30</x:v>
      </x:c>
      <x:c r="U35" s="43" t="s">
        <x:v>41</x:v>
      </x:c>
      <x:c r="V35" s="43" t="s">
        <x:v>117</x:v>
      </x:c>
      <x:c r="W35" s="8" t="str">
        <x:f>+VLOOKUP($A35,'TMS- NODE'!$A$6:$N$260,6,0)</x:f>
        <x:v>107.4526107,16.5468176</x:v>
      </x:c>
    </x:row>
    <x:row r="36">
      <x:c r="A36" s="34" t="s">
        <x:v>268</x:v>
      </x:c>
      <x:c r="B36" s="44" t="s">
        <x:v>269</x:v>
      </x:c>
      <x:c r="C36" s="45" t="s">
        <x:v>28</x:v>
      </x:c>
      <x:c r="D36" s="45" t="s">
        <x:v>29</x:v>
      </x:c>
      <x:c r="E36" s="46" t="s">
        <x:v>30</x:v>
      </x:c>
      <x:c r="F36" s="45" t="s">
        <x:v>29</x:v>
      </x:c>
      <x:c r="G36" s="46" t="s">
        <x:v>31</x:v>
      </x:c>
      <x:c r="H36" s="47" t="s">
        <x:v>270</x:v>
      </x:c>
      <x:c r="I36" s="48" t="s">
        <x:v>271</x:v>
      </x:c>
      <x:c r="J36" s="45" t="s">
        <x:v>269</x:v>
      </x:c>
      <x:c r="K36" s="46" t="s">
        <x:v>272</x:v>
      </x:c>
      <x:c r="L36" s="45" t="s">
        <x:v>273</x:v>
      </x:c>
      <x:c r="M36" s="45" t="s">
        <x:v>274</x:v>
      </x:c>
      <x:c r="N36" s="49" t="s">
        <x:v>275</x:v>
      </x:c>
      <x:c r="O36" s="45" t="s">
        <x:v>113</x:v>
      </x:c>
      <x:c r="P36" s="46" t="s">
        <x:v>276</x:v>
      </x:c>
      <x:c r="Q36" s="45" t="s">
        <x:v>115</x:v>
      </x:c>
      <x:c r="R36" s="50" t="s">
        <x:v>277</x:v>
      </x:c>
      <x:c r="S36" s="46"/>
      <x:c r="T36" s="42" t="s">
        <x:v>30</x:v>
      </x:c>
      <x:c r="U36" s="43" t="s">
        <x:v>41</x:v>
      </x:c>
      <x:c r="V36" s="43" t="s">
        <x:v>117</x:v>
      </x:c>
      <x:c r="W36" s="8" t="str">
        <x:f>+VLOOKUP($A36,'TMS- NODE'!$A$6:$N$260,6,0)</x:f>
        <x:v>107.5048768,16.35059752</x:v>
      </x:c>
    </x:row>
    <x:row r="37">
      <x:c r="A37" s="34" t="s">
        <x:v>278</x:v>
      </x:c>
      <x:c r="B37" s="44" t="s">
        <x:v>279</x:v>
      </x:c>
      <x:c r="C37" s="45" t="s">
        <x:v>28</x:v>
      </x:c>
      <x:c r="D37" s="45" t="s">
        <x:v>29</x:v>
      </x:c>
      <x:c r="E37" s="46" t="s">
        <x:v>30</x:v>
      </x:c>
      <x:c r="F37" s="45" t="s">
        <x:v>29</x:v>
      </x:c>
      <x:c r="G37" s="46" t="s">
        <x:v>31</x:v>
      </x:c>
      <x:c r="H37" s="47" t="s">
        <x:v>280</x:v>
      </x:c>
      <x:c r="I37" s="48" t="s">
        <x:v>281</x:v>
      </x:c>
      <x:c r="J37" s="45" t="s">
        <x:v>279</x:v>
      </x:c>
      <x:c r="K37" s="46" t="s">
        <x:v>282</x:v>
      </x:c>
      <x:c r="L37" s="45" t="s">
        <x:v>283</x:v>
      </x:c>
      <x:c r="M37" s="45" t="s">
        <x:v>284</x:v>
      </x:c>
      <x:c r="N37" s="49" t="s">
        <x:v>285</x:v>
      </x:c>
      <x:c r="O37" s="45" t="s">
        <x:v>113</x:v>
      </x:c>
      <x:c r="P37" s="46" t="s">
        <x:v>286</x:v>
      </x:c>
      <x:c r="Q37" s="45" t="s">
        <x:v>115</x:v>
      </x:c>
      <x:c r="R37" s="50" t="s">
        <x:v>287</x:v>
      </x:c>
      <x:c r="S37" s="46"/>
      <x:c r="T37" s="42" t="s">
        <x:v>30</x:v>
      </x:c>
      <x:c r="U37" s="43" t="s">
        <x:v>41</x:v>
      </x:c>
      <x:c r="V37" s="43" t="s">
        <x:v>117</x:v>
      </x:c>
      <x:c r="W37" s="8" t="str">
        <x:f>+VLOOKUP($A37,'TMS- NODE'!$A$6:$N$260,6,0)</x:f>
        <x:v>107.2702825,16.23597288</x:v>
      </x:c>
    </x:row>
    <x:row r="38">
      <x:c r="A38" s="34" t="s">
        <x:v>288</x:v>
      </x:c>
      <x:c r="B38" s="44" t="s">
        <x:v>289</x:v>
      </x:c>
      <x:c r="C38" s="45" t="s">
        <x:v>28</x:v>
      </x:c>
      <x:c r="D38" s="45" t="s">
        <x:v>29</x:v>
      </x:c>
      <x:c r="E38" s="46" t="s">
        <x:v>30</x:v>
      </x:c>
      <x:c r="F38" s="45" t="s">
        <x:v>29</x:v>
      </x:c>
      <x:c r="G38" s="46" t="s">
        <x:v>31</x:v>
      </x:c>
      <x:c r="H38" s="47" t="s">
        <x:v>290</x:v>
      </x:c>
      <x:c r="I38" s="48" t="s">
        <x:v>291</x:v>
      </x:c>
      <x:c r="J38" s="45" t="s">
        <x:v>289</x:v>
      </x:c>
      <x:c r="K38" s="46" t="s">
        <x:v>292</x:v>
      </x:c>
      <x:c r="L38" s="45" t="s">
        <x:v>293</x:v>
      </x:c>
      <x:c r="M38" s="45" t="s">
        <x:v>294</x:v>
      </x:c>
      <x:c r="N38" s="49" t="s">
        <x:v>295</x:v>
      </x:c>
      <x:c r="O38" s="45" t="s">
        <x:v>113</x:v>
      </x:c>
      <x:c r="P38" s="46" t="s">
        <x:v>296</x:v>
      </x:c>
      <x:c r="Q38" s="45" t="s">
        <x:v>115</x:v>
      </x:c>
      <x:c r="R38" s="50" t="s">
        <x:v>297</x:v>
      </x:c>
      <x:c r="S38" s="46"/>
      <x:c r="T38" s="42" t="s">
        <x:v>30</x:v>
      </x:c>
      <x:c r="U38" s="43" t="s">
        <x:v>41</x:v>
      </x:c>
      <x:c r="V38" s="43" t="s">
        <x:v>117</x:v>
      </x:c>
      <x:c r="W38" s="8" t="str">
        <x:f>+VLOOKUP($A38,'TMS- NODE'!$A$6:$N$260,6,0)</x:f>
        <x:v>107.6208807,16.44103784</x:v>
      </x:c>
    </x:row>
    <x:row r="39">
      <x:c r="A39" s="34" t="s">
        <x:v>298</x:v>
      </x:c>
      <x:c r="B39" s="44" t="s">
        <x:v>299</x:v>
      </x:c>
      <x:c r="C39" s="45" t="s">
        <x:v>28</x:v>
      </x:c>
      <x:c r="D39" s="45" t="s">
        <x:v>29</x:v>
      </x:c>
      <x:c r="E39" s="46" t="s">
        <x:v>30</x:v>
      </x:c>
      <x:c r="F39" s="45" t="s">
        <x:v>29</x:v>
      </x:c>
      <x:c r="G39" s="46" t="s">
        <x:v>31</x:v>
      </x:c>
      <x:c r="H39" s="47" t="s">
        <x:v>300</x:v>
      </x:c>
      <x:c r="I39" s="48" t="s">
        <x:v>301</x:v>
      </x:c>
      <x:c r="J39" s="45" t="s">
        <x:v>299</x:v>
      </x:c>
      <x:c r="K39" s="46" t="s">
        <x:v>302</x:v>
      </x:c>
      <x:c r="L39" s="45" t="s">
        <x:v>303</x:v>
      </x:c>
      <x:c r="M39" s="45" t="s">
        <x:v>304</x:v>
      </x:c>
      <x:c r="N39" s="49" t="s">
        <x:v>305</x:v>
      </x:c>
      <x:c r="O39" s="45" t="s">
        <x:v>113</x:v>
      </x:c>
      <x:c r="P39" s="46" t="s">
        <x:v>306</x:v>
      </x:c>
      <x:c r="Q39" s="45" t="s">
        <x:v>115</x:v>
      </x:c>
      <x:c r="R39" s="50" t="s">
        <x:v>307</x:v>
      </x:c>
      <x:c r="S39" s="46"/>
      <x:c r="T39" s="42" t="s">
        <x:v>30</x:v>
      </x:c>
      <x:c r="U39" s="43" t="s">
        <x:v>41</x:v>
      </x:c>
      <x:c r="V39" s="43" t="s">
        <x:v>117</x:v>
      </x:c>
      <x:c r="W39" s="8" t="str">
        <x:f>+VLOOKUP($A39,'TMS- NODE'!$A$6:$N$260,6,0)</x:f>
        <x:v>107.701626,16.52431551</x:v>
      </x:c>
    </x:row>
    <x:row r="40">
      <x:c r="A40" s="34" t="s">
        <x:v>308</x:v>
      </x:c>
      <x:c r="B40" s="44" t="s">
        <x:v>309</x:v>
      </x:c>
      <x:c r="C40" s="45" t="s">
        <x:v>28</x:v>
      </x:c>
      <x:c r="D40" s="45" t="s">
        <x:v>29</x:v>
      </x:c>
      <x:c r="E40" s="46" t="s">
        <x:v>30</x:v>
      </x:c>
      <x:c r="F40" s="45" t="s">
        <x:v>29</x:v>
      </x:c>
      <x:c r="G40" s="46" t="s">
        <x:v>31</x:v>
      </x:c>
      <x:c r="H40" s="47" t="s">
        <x:v>300</x:v>
      </x:c>
      <x:c r="I40" s="48" t="s">
        <x:v>301</x:v>
      </x:c>
      <x:c r="J40" s="45" t="s">
        <x:v>309</x:v>
      </x:c>
      <x:c r="K40" s="46" t="s">
        <x:v>310</x:v>
      </x:c>
      <x:c r="L40" s="45" t="s">
        <x:v>303</x:v>
      </x:c>
      <x:c r="M40" s="45" t="s">
        <x:v>304</x:v>
      </x:c>
      <x:c r="N40" s="49" t="s">
        <x:v>305</x:v>
      </x:c>
      <x:c r="O40" s="45" t="s">
        <x:v>113</x:v>
      </x:c>
      <x:c r="P40" s="46" t="s">
        <x:v>311</x:v>
      </x:c>
      <x:c r="Q40" s="45" t="s">
        <x:v>115</x:v>
      </x:c>
      <x:c r="R40" s="50" t="s">
        <x:v>312</x:v>
      </x:c>
      <x:c r="S40" s="46"/>
      <x:c r="T40" s="42" t="s">
        <x:v>30</x:v>
      </x:c>
      <x:c r="U40" s="43" t="s">
        <x:v>41</x:v>
      </x:c>
      <x:c r="V40" s="43" t="s">
        <x:v>117</x:v>
      </x:c>
      <x:c r="W40" s="8" t="str">
        <x:f>+VLOOKUP($A40,'TMS- NODE'!$A$6:$N$260,6,0)</x:f>
        <x:v>107.6395865,16.54790068</x:v>
      </x:c>
    </x:row>
    <x:row r="41">
      <x:c r="A41" s="34" t="s">
        <x:v>313</x:v>
      </x:c>
      <x:c r="B41" s="44" t="s">
        <x:v>314</x:v>
      </x:c>
      <x:c r="C41" s="45" t="s">
        <x:v>28</x:v>
      </x:c>
      <x:c r="D41" s="45" t="s">
        <x:v>29</x:v>
      </x:c>
      <x:c r="E41" s="46" t="s">
        <x:v>30</x:v>
      </x:c>
      <x:c r="F41" s="45" t="s">
        <x:v>29</x:v>
      </x:c>
      <x:c r="G41" s="46" t="s">
        <x:v>31</x:v>
      </x:c>
      <x:c r="H41" s="47" t="s">
        <x:v>315</x:v>
      </x:c>
      <x:c r="I41" s="48" t="s">
        <x:v>316</x:v>
      </x:c>
      <x:c r="J41" s="45" t="s">
        <x:v>314</x:v>
      </x:c>
      <x:c r="K41" s="46" t="s">
        <x:v>317</x:v>
      </x:c>
      <x:c r="L41" s="45" t="s">
        <x:v>57</x:v>
      </x:c>
      <x:c r="M41" s="45" t="s">
        <x:v>58</x:v>
      </x:c>
      <x:c r="N41" s="49" t="s">
        <x:v>59</x:v>
      </x:c>
      <x:c r="O41" s="45" t="s">
        <x:v>113</x:v>
      </x:c>
      <x:c r="P41" s="46" t="s">
        <x:v>318</x:v>
      </x:c>
      <x:c r="Q41" s="45" t="s">
        <x:v>115</x:v>
      </x:c>
      <x:c r="R41" s="50" t="s">
        <x:v>319</x:v>
      </x:c>
      <x:c r="S41" s="46"/>
      <x:c r="T41" s="42" t="s">
        <x:v>30</x:v>
      </x:c>
      <x:c r="U41" s="43" t="s">
        <x:v>41</x:v>
      </x:c>
      <x:c r="V41" s="43" t="s">
        <x:v>117</x:v>
      </x:c>
      <x:c r="W41" s="8" t="str">
        <x:f>+VLOOKUP($A41,'TMS- NODE'!$A$6:$N$260,6,0)</x:f>
        <x:v>107.599643,16.5035321</x:v>
      </x:c>
    </x:row>
    <x:row r="42">
      <x:c r="A42" s="34" t="s">
        <x:v>320</x:v>
      </x:c>
      <x:c r="B42" s="44" t="s">
        <x:v>321</x:v>
      </x:c>
      <x:c r="C42" s="45" t="s">
        <x:v>28</x:v>
      </x:c>
      <x:c r="D42" s="45" t="s">
        <x:v>29</x:v>
      </x:c>
      <x:c r="E42" s="46" t="s">
        <x:v>30</x:v>
      </x:c>
      <x:c r="F42" s="45" t="s">
        <x:v>29</x:v>
      </x:c>
      <x:c r="G42" s="46" t="s">
        <x:v>31</x:v>
      </x:c>
      <x:c r="H42" s="47" t="s">
        <x:v>64</x:v>
      </x:c>
      <x:c r="I42" s="48" t="s">
        <x:v>65</x:v>
      </x:c>
      <x:c r="J42" s="45" t="s">
        <x:v>321</x:v>
      </x:c>
      <x:c r="K42" s="46" t="s">
        <x:v>322</x:v>
      </x:c>
      <x:c r="L42" s="45" t="s">
        <x:v>174</x:v>
      </x:c>
      <x:c r="M42" s="45" t="s">
        <x:v>175</x:v>
      </x:c>
      <x:c r="N42" s="49" t="s">
        <x:v>176</x:v>
      </x:c>
      <x:c r="O42" s="45" t="s">
        <x:v>113</x:v>
      </x:c>
      <x:c r="P42" s="46" t="s">
        <x:v>323</x:v>
      </x:c>
      <x:c r="Q42" s="45" t="s">
        <x:v>115</x:v>
      </x:c>
      <x:c r="R42" s="50" t="s">
        <x:v>324</x:v>
      </x:c>
      <x:c r="S42" s="46"/>
      <x:c r="T42" s="42" t="s">
        <x:v>30</x:v>
      </x:c>
      <x:c r="U42" s="43" t="s">
        <x:v>41</x:v>
      </x:c>
      <x:c r="V42" s="43" t="s">
        <x:v>117</x:v>
      </x:c>
      <x:c r="W42" s="8" t="str">
        <x:f>+VLOOKUP($A42,'TMS- NODE'!$A$6:$N$260,6,0)</x:f>
        <x:v>107.768203283639,16.3924073902549</x:v>
      </x:c>
    </x:row>
    <x:row r="43">
      <x:c r="A43" s="34" t="s">
        <x:v>325</x:v>
      </x:c>
      <x:c r="B43" s="44" t="s">
        <x:v>326</x:v>
      </x:c>
      <x:c r="C43" s="45" t="s">
        <x:v>28</x:v>
      </x:c>
      <x:c r="D43" s="45" t="s">
        <x:v>29</x:v>
      </x:c>
      <x:c r="E43" s="46" t="s">
        <x:v>30</x:v>
      </x:c>
      <x:c r="F43" s="45" t="s">
        <x:v>29</x:v>
      </x:c>
      <x:c r="G43" s="46" t="s">
        <x:v>31</x:v>
      </x:c>
      <x:c r="H43" s="47" t="s">
        <x:v>327</x:v>
      </x:c>
      <x:c r="I43" s="48" t="s">
        <x:v>328</x:v>
      </x:c>
      <x:c r="J43" s="45" t="s">
        <x:v>326</x:v>
      </x:c>
      <x:c r="K43" s="46" t="s">
        <x:v>329</x:v>
      </x:c>
      <x:c r="L43" s="45" t="s">
        <x:v>330</x:v>
      </x:c>
      <x:c r="M43" s="45" t="s">
        <x:v>331</x:v>
      </x:c>
      <x:c r="N43" s="49" t="s">
        <x:v>332</x:v>
      </x:c>
      <x:c r="O43" s="45" t="s">
        <x:v>113</x:v>
      </x:c>
      <x:c r="P43" s="46" t="s">
        <x:v>333</x:v>
      </x:c>
      <x:c r="Q43" s="45" t="s">
        <x:v>115</x:v>
      </x:c>
      <x:c r="R43" s="50" t="s">
        <x:v>334</x:v>
      </x:c>
      <x:c r="S43" s="46"/>
      <x:c r="T43" s="42" t="s">
        <x:v>30</x:v>
      </x:c>
      <x:c r="U43" s="43" t="s">
        <x:v>41</x:v>
      </x:c>
      <x:c r="V43" s="43" t="s">
        <x:v>117</x:v>
      </x:c>
      <x:c r="W43" s="8" t="str">
        <x:f>+VLOOKUP($A43,'TMS- NODE'!$A$6:$N$260,6,0)</x:f>
        <x:v>107.749618604685,16.4875930900034</x:v>
      </x:c>
    </x:row>
    <x:row r="44">
      <x:c r="A44" s="34" t="s">
        <x:v>335</x:v>
      </x:c>
      <x:c r="B44" s="44" t="s">
        <x:v>336</x:v>
      </x:c>
      <x:c r="C44" s="45" t="s">
        <x:v>28</x:v>
      </x:c>
      <x:c r="D44" s="45" t="s">
        <x:v>29</x:v>
      </x:c>
      <x:c r="E44" s="46" t="s">
        <x:v>30</x:v>
      </x:c>
      <x:c r="F44" s="45" t="s">
        <x:v>29</x:v>
      </x:c>
      <x:c r="G44" s="46" t="s">
        <x:v>31</x:v>
      </x:c>
      <x:c r="H44" s="47" t="s">
        <x:v>327</x:v>
      </x:c>
      <x:c r="I44" s="48" t="s">
        <x:v>328</x:v>
      </x:c>
      <x:c r="J44" s="45" t="s">
        <x:v>336</x:v>
      </x:c>
      <x:c r="K44" s="46" t="s">
        <x:v>337</x:v>
      </x:c>
      <x:c r="L44" s="45" t="s">
        <x:v>330</x:v>
      </x:c>
      <x:c r="M44" s="45" t="s">
        <x:v>331</x:v>
      </x:c>
      <x:c r="N44" s="49" t="s">
        <x:v>332</x:v>
      </x:c>
      <x:c r="O44" s="45" t="s">
        <x:v>113</x:v>
      </x:c>
      <x:c r="P44" s="46" t="s">
        <x:v>338</x:v>
      </x:c>
      <x:c r="Q44" s="45" t="s">
        <x:v>115</x:v>
      </x:c>
      <x:c r="R44" s="50" t="s">
        <x:v>339</x:v>
      </x:c>
      <x:c r="S44" s="46"/>
      <x:c r="T44" s="42" t="s">
        <x:v>30</x:v>
      </x:c>
      <x:c r="U44" s="43" t="s">
        <x:v>41</x:v>
      </x:c>
      <x:c r="V44" s="43" t="s">
        <x:v>117</x:v>
      </x:c>
      <x:c r="W44" s="8" t="str">
        <x:f>+VLOOKUP($A44,'TMS- NODE'!$A$6:$N$260,6,0)</x:f>
        <x:v>107.8085477,16.410846</x:v>
      </x:c>
    </x:row>
    <x:row r="45">
      <x:c r="A45" s="34" t="s">
        <x:v>340</x:v>
      </x:c>
      <x:c r="B45" s="44" t="s">
        <x:v>341</x:v>
      </x:c>
      <x:c r="C45" s="45" t="s">
        <x:v>28</x:v>
      </x:c>
      <x:c r="D45" s="45" t="s">
        <x:v>29</x:v>
      </x:c>
      <x:c r="E45" s="46" t="s">
        <x:v>30</x:v>
      </x:c>
      <x:c r="F45" s="45" t="s">
        <x:v>29</x:v>
      </x:c>
      <x:c r="G45" s="46" t="s">
        <x:v>31</x:v>
      </x:c>
      <x:c r="H45" s="47" t="s">
        <x:v>342</x:v>
      </x:c>
      <x:c r="I45" s="48" t="s">
        <x:v>343</x:v>
      </x:c>
      <x:c r="J45" s="45" t="s">
        <x:v>341</x:v>
      </x:c>
      <x:c r="K45" s="46" t="s">
        <x:v>344</x:v>
      </x:c>
      <x:c r="L45" s="45" t="s">
        <x:v>345</x:v>
      </x:c>
      <x:c r="M45" s="45" t="s">
        <x:v>346</x:v>
      </x:c>
      <x:c r="N45" s="49" t="s">
        <x:v>347</x:v>
      </x:c>
      <x:c r="O45" s="45" t="s">
        <x:v>113</x:v>
      </x:c>
      <x:c r="P45" s="46" t="s">
        <x:v>348</x:v>
      </x:c>
      <x:c r="Q45" s="45" t="s">
        <x:v>115</x:v>
      </x:c>
      <x:c r="R45" s="50" t="s">
        <x:v>349</x:v>
      </x:c>
      <x:c r="S45" s="46"/>
      <x:c r="T45" s="42" t="s">
        <x:v>30</x:v>
      </x:c>
      <x:c r="U45" s="43" t="s">
        <x:v>41</x:v>
      </x:c>
      <x:c r="V45" s="43" t="s">
        <x:v>117</x:v>
      </x:c>
      <x:c r="W45" s="8" t="str">
        <x:f>+VLOOKUP($A45,'TMS- NODE'!$A$6:$N$260,6,0)</x:f>
        <x:v>108.004765,16.30758249</x:v>
      </x:c>
    </x:row>
    <x:row r="46">
      <x:c r="A46" s="34" t="s">
        <x:v>350</x:v>
      </x:c>
      <x:c r="B46" s="44" t="s">
        <x:v>351</x:v>
      </x:c>
      <x:c r="C46" s="45" t="s">
        <x:v>28</x:v>
      </x:c>
      <x:c r="D46" s="45" t="s">
        <x:v>29</x:v>
      </x:c>
      <x:c r="E46" s="46" t="s">
        <x:v>30</x:v>
      </x:c>
      <x:c r="F46" s="45" t="s">
        <x:v>29</x:v>
      </x:c>
      <x:c r="G46" s="46" t="s">
        <x:v>31</x:v>
      </x:c>
      <x:c r="H46" s="47" t="s">
        <x:v>352</x:v>
      </x:c>
      <x:c r="I46" s="48" t="s">
        <x:v>353</x:v>
      </x:c>
      <x:c r="J46" s="45" t="s">
        <x:v>351</x:v>
      </x:c>
      <x:c r="K46" s="46" t="s">
        <x:v>354</x:v>
      </x:c>
      <x:c r="L46" s="45" t="s">
        <x:v>102</x:v>
      </x:c>
      <x:c r="M46" s="45" t="s">
        <x:v>103</x:v>
      </x:c>
      <x:c r="N46" s="49" t="s">
        <x:v>104</x:v>
      </x:c>
      <x:c r="O46" s="45" t="s">
        <x:v>113</x:v>
      </x:c>
      <x:c r="P46" s="46" t="s">
        <x:v>355</x:v>
      </x:c>
      <x:c r="Q46" s="45" t="s">
        <x:v>115</x:v>
      </x:c>
      <x:c r="R46" s="50" t="s">
        <x:v>356</x:v>
      </x:c>
      <x:c r="S46" s="46"/>
      <x:c r="T46" s="42" t="s">
        <x:v>30</x:v>
      </x:c>
      <x:c r="U46" s="43" t="s">
        <x:v>41</x:v>
      </x:c>
      <x:c r="V46" s="43" t="s">
        <x:v>117</x:v>
      </x:c>
      <x:c r="W46" s="8" t="str">
        <x:f>+VLOOKUP($A46,'TMS- NODE'!$A$6:$N$260,6,0)</x:f>
        <x:v>107.8908936,16.3478062</x:v>
      </x:c>
    </x:row>
    <x:row r="47">
      <x:c r="A47" s="34" t="s">
        <x:v>357</x:v>
      </x:c>
      <x:c r="B47" s="44" t="s">
        <x:v>358</x:v>
      </x:c>
      <x:c r="C47" s="45" t="s">
        <x:v>28</x:v>
      </x:c>
      <x:c r="D47" s="45" t="s">
        <x:v>29</x:v>
      </x:c>
      <x:c r="E47" s="46" t="s">
        <x:v>30</x:v>
      </x:c>
      <x:c r="F47" s="45" t="s">
        <x:v>29</x:v>
      </x:c>
      <x:c r="G47" s="46" t="s">
        <x:v>31</x:v>
      </x:c>
      <x:c r="H47" s="47" t="s">
        <x:v>352</x:v>
      </x:c>
      <x:c r="I47" s="48" t="s">
        <x:v>353</x:v>
      </x:c>
      <x:c r="J47" s="45" t="s">
        <x:v>358</x:v>
      </x:c>
      <x:c r="K47" s="46" t="s">
        <x:v>359</x:v>
      </x:c>
      <x:c r="L47" s="45" t="s">
        <x:v>102</x:v>
      </x:c>
      <x:c r="M47" s="45" t="s">
        <x:v>103</x:v>
      </x:c>
      <x:c r="N47" s="49" t="s">
        <x:v>104</x:v>
      </x:c>
      <x:c r="O47" s="45" t="s">
        <x:v>113</x:v>
      </x:c>
      <x:c r="P47" s="46" t="s">
        <x:v>360</x:v>
      </x:c>
      <x:c r="Q47" s="45" t="s">
        <x:v>115</x:v>
      </x:c>
      <x:c r="R47" s="50" t="s">
        <x:v>361</x:v>
      </x:c>
      <x:c r="S47" s="46"/>
      <x:c r="T47" s="42" t="s">
        <x:v>30</x:v>
      </x:c>
      <x:c r="U47" s="43" t="s">
        <x:v>41</x:v>
      </x:c>
      <x:c r="V47" s="43" t="s">
        <x:v>117</x:v>
      </x:c>
      <x:c r="W47" s="8" t="str">
        <x:f>+VLOOKUP($A47,'TMS- NODE'!$A$6:$N$260,6,0)</x:f>
        <x:v>107.8416467,16.37408456</x:v>
      </x:c>
    </x:row>
    <x:row r="48">
      <x:c r="A48" s="34" t="s">
        <x:v>362</x:v>
      </x:c>
      <x:c r="B48" s="44" t="s">
        <x:v>363</x:v>
      </x:c>
      <x:c r="C48" s="45" t="s">
        <x:v>28</x:v>
      </x:c>
      <x:c r="D48" s="45" t="s">
        <x:v>29</x:v>
      </x:c>
      <x:c r="E48" s="46" t="s">
        <x:v>30</x:v>
      </x:c>
      <x:c r="F48" s="45" t="s">
        <x:v>29</x:v>
      </x:c>
      <x:c r="G48" s="46" t="s">
        <x:v>31</x:v>
      </x:c>
      <x:c r="H48" s="47" t="s">
        <x:v>364</x:v>
      </x:c>
      <x:c r="I48" s="48" t="s">
        <x:v>365</x:v>
      </x:c>
      <x:c r="J48" s="45" t="s">
        <x:v>363</x:v>
      </x:c>
      <x:c r="K48" s="46" t="s">
        <x:v>366</x:v>
      </x:c>
      <x:c r="L48" s="45" t="s">
        <x:v>367</x:v>
      </x:c>
      <x:c r="M48" s="45" t="s">
        <x:v>368</x:v>
      </x:c>
      <x:c r="N48" s="49" t="s">
        <x:v>369</x:v>
      </x:c>
      <x:c r="O48" s="45" t="s">
        <x:v>113</x:v>
      </x:c>
      <x:c r="P48" s="46" t="s">
        <x:v>370</x:v>
      </x:c>
      <x:c r="Q48" s="45" t="s">
        <x:v>115</x:v>
      </x:c>
      <x:c r="R48" s="50" t="s">
        <x:v>371</x:v>
      </x:c>
      <x:c r="S48" s="46"/>
      <x:c r="T48" s="42" t="s">
        <x:v>30</x:v>
      </x:c>
      <x:c r="U48" s="43" t="s">
        <x:v>41</x:v>
      </x:c>
      <x:c r="V48" s="43" t="s">
        <x:v>117</x:v>
      </x:c>
      <x:c r="W48" s="8" t="str">
        <x:f>+VLOOKUP($A48,'TMS- NODE'!$A$6:$N$260,6,0)</x:f>
        <x:v>107.746396,16.33512767</x:v>
      </x:c>
    </x:row>
    <x:row r="49">
      <x:c r="A49" s="34" t="s">
        <x:v>372</x:v>
      </x:c>
      <x:c r="B49" s="44" t="s">
        <x:v>373</x:v>
      </x:c>
      <x:c r="C49" s="45" t="s">
        <x:v>28</x:v>
      </x:c>
      <x:c r="D49" s="45" t="s">
        <x:v>29</x:v>
      </x:c>
      <x:c r="E49" s="46" t="s">
        <x:v>30</x:v>
      </x:c>
      <x:c r="F49" s="45" t="s">
        <x:v>29</x:v>
      </x:c>
      <x:c r="G49" s="46" t="s">
        <x:v>31</x:v>
      </x:c>
      <x:c r="H49" s="47" t="s">
        <x:v>342</x:v>
      </x:c>
      <x:c r="I49" s="48" t="s">
        <x:v>343</x:v>
      </x:c>
      <x:c r="J49" s="45" t="s">
        <x:v>373</x:v>
      </x:c>
      <x:c r="K49" s="46" t="s">
        <x:v>374</x:v>
      </x:c>
      <x:c r="L49" s="45" t="s">
        <x:v>345</x:v>
      </x:c>
      <x:c r="M49" s="45" t="s">
        <x:v>346</x:v>
      </x:c>
      <x:c r="N49" s="49" t="s">
        <x:v>347</x:v>
      </x:c>
      <x:c r="O49" s="45" t="s">
        <x:v>113</x:v>
      </x:c>
      <x:c r="P49" s="46" t="s">
        <x:v>375</x:v>
      </x:c>
      <x:c r="Q49" s="45" t="s">
        <x:v>115</x:v>
      </x:c>
      <x:c r="R49" s="50" t="s">
        <x:v>376</x:v>
      </x:c>
      <x:c r="S49" s="46"/>
      <x:c r="T49" s="42" t="s">
        <x:v>30</x:v>
      </x:c>
      <x:c r="U49" s="43" t="s">
        <x:v>41</x:v>
      </x:c>
      <x:c r="V49" s="43" t="s">
        <x:v>117</x:v>
      </x:c>
      <x:c r="W49" s="8" t="str">
        <x:f>+VLOOKUP($A49,'TMS- NODE'!$A$6:$N$260,6,0)</x:f>
        <x:v>107.9909899,16.27156693</x:v>
      </x:c>
    </x:row>
    <x:row r="50">
      <x:c r="A50" s="34" t="s">
        <x:v>377</x:v>
      </x:c>
      <x:c r="B50" s="44" t="s">
        <x:v>378</x:v>
      </x:c>
      <x:c r="C50" s="45" t="s">
        <x:v>28</x:v>
      </x:c>
      <x:c r="D50" s="45" t="s">
        <x:v>29</x:v>
      </x:c>
      <x:c r="E50" s="46" t="s">
        <x:v>30</x:v>
      </x:c>
      <x:c r="F50" s="45" t="s">
        <x:v>29</x:v>
      </x:c>
      <x:c r="G50" s="46" t="s">
        <x:v>31</x:v>
      </x:c>
      <x:c r="H50" s="47" t="s">
        <x:v>342</x:v>
      </x:c>
      <x:c r="I50" s="48" t="s">
        <x:v>343</x:v>
      </x:c>
      <x:c r="J50" s="45" t="s">
        <x:v>378</x:v>
      </x:c>
      <x:c r="K50" s="46" t="s">
        <x:v>379</x:v>
      </x:c>
      <x:c r="L50" s="45" t="s">
        <x:v>345</x:v>
      </x:c>
      <x:c r="M50" s="45" t="s">
        <x:v>346</x:v>
      </x:c>
      <x:c r="N50" s="49" t="s">
        <x:v>347</x:v>
      </x:c>
      <x:c r="O50" s="45" t="s">
        <x:v>113</x:v>
      </x:c>
      <x:c r="P50" s="46" t="s">
        <x:v>380</x:v>
      </x:c>
      <x:c r="Q50" s="45" t="s">
        <x:v>115</x:v>
      </x:c>
      <x:c r="R50" s="50" t="s">
        <x:v>381</x:v>
      </x:c>
      <x:c r="S50" s="46"/>
      <x:c r="T50" s="42" t="s">
        <x:v>30</x:v>
      </x:c>
      <x:c r="U50" s="43" t="s">
        <x:v>41</x:v>
      </x:c>
      <x:c r="V50" s="43" t="s">
        <x:v>117</x:v>
      </x:c>
      <x:c r="W50" s="8" t="str">
        <x:f>+VLOOKUP($A50,'TMS- NODE'!$A$6:$N$260,6,0)</x:f>
        <x:v>108.0817791,16.23602194</x:v>
      </x:c>
    </x:row>
    <x:row r="51">
      <x:c r="A51" s="34" t="s">
        <x:v>382</x:v>
      </x:c>
      <x:c r="B51" s="35" t="s">
        <x:v>383</x:v>
      </x:c>
      <x:c r="C51" s="36" t="s">
        <x:v>28</x:v>
      </x:c>
      <x:c r="D51" s="36" t="s">
        <x:v>29</x:v>
      </x:c>
      <x:c r="E51" s="37" t="s">
        <x:v>30</x:v>
      </x:c>
      <x:c r="F51" s="36" t="s">
        <x:v>29</x:v>
      </x:c>
      <x:c r="G51" s="37" t="s">
        <x:v>31</x:v>
      </x:c>
      <x:c r="H51" s="38" t="s">
        <x:v>384</x:v>
      </x:c>
      <x:c r="I51" s="39" t="s">
        <x:v>385</x:v>
      </x:c>
      <x:c r="J51" s="36" t="s">
        <x:v>383</x:v>
      </x:c>
      <x:c r="K51" s="37" t="s">
        <x:v>386</x:v>
      </x:c>
      <x:c r="L51" s="36" t="s">
        <x:v>48</x:v>
      </x:c>
      <x:c r="M51" s="36" t="s">
        <x:v>49</x:v>
      </x:c>
      <x:c r="N51" s="40" t="s">
        <x:v>50</x:v>
      </x:c>
      <x:c r="O51" s="51" t="s">
        <x:v>387</x:v>
      </x:c>
      <x:c r="P51" s="37" t="s">
        <x:v>388</x:v>
      </x:c>
      <x:c r="Q51" s="36" t="s">
        <x:v>40</x:v>
      </x:c>
      <x:c r="R51" s="41" t="s">
        <x:v>389</x:v>
      </x:c>
      <x:c r="S51" s="37"/>
      <x:c r="T51" s="42" t="s">
        <x:v>30</x:v>
      </x:c>
      <x:c r="U51" s="43" t="s">
        <x:v>41</x:v>
      </x:c>
      <x:c r="V51" s="43" t="s">
        <x:v>390</x:v>
      </x:c>
      <x:c r="W51" s="8" t="str">
        <x:f>+VLOOKUP($A51,'TMS- NODE'!$A$6:$N$260,6,0)</x:f>
        <x:v>107.688858973105,16.3837080161244</x:v>
      </x:c>
    </x:row>
    <x:row r="52">
      <x:c r="A52" s="34" t="s">
        <x:v>391</x:v>
      </x:c>
      <x:c r="B52" s="35" t="s">
        <x:v>392</x:v>
      </x:c>
      <x:c r="C52" s="36" t="s">
        <x:v>28</x:v>
      </x:c>
      <x:c r="D52" s="36" t="s">
        <x:v>29</x:v>
      </x:c>
      <x:c r="E52" s="37" t="s">
        <x:v>30</x:v>
      </x:c>
      <x:c r="F52" s="36" t="s">
        <x:v>29</x:v>
      </x:c>
      <x:c r="G52" s="37" t="s">
        <x:v>31</x:v>
      </x:c>
      <x:c r="H52" s="38" t="s">
        <x:v>393</x:v>
      </x:c>
      <x:c r="I52" s="39" t="s">
        <x:v>394</x:v>
      </x:c>
      <x:c r="J52" s="36" t="s">
        <x:v>392</x:v>
      </x:c>
      <x:c r="K52" s="37" t="s">
        <x:v>395</x:v>
      </x:c>
      <x:c r="L52" s="36"/>
      <x:c r="M52" s="36"/>
      <x:c r="N52" s="40"/>
      <x:c r="O52" s="36" t="s">
        <x:v>113</x:v>
      </x:c>
      <x:c r="P52" s="37" t="s">
        <x:v>396</x:v>
      </x:c>
      <x:c r="Q52" s="36" t="s">
        <x:v>40</x:v>
      </x:c>
      <x:c r="R52" s="41" t="s">
        <x:v>392</x:v>
      </x:c>
      <x:c r="S52" s="37"/>
      <x:c r="T52" s="42" t="s">
        <x:v>30</x:v>
      </x:c>
      <x:c r="U52" s="43" t="s">
        <x:v>41</x:v>
      </x:c>
      <x:c r="V52" s="43" t="s">
        <x:v>117</x:v>
      </x:c>
      <x:c r="W52" s="8" t="str">
        <x:f>+VLOOKUP($A52,'TMS- NODE'!$A$6:$N$260,6,0)</x:f>
        <x:v>107.590369869917,16.4648867039695</x:v>
      </x:c>
    </x:row>
    <x:row r="53">
      <x:c r="A53" s="34" t="s">
        <x:v>397</x:v>
      </x:c>
      <x:c r="B53" s="35" t="s">
        <x:v>398</x:v>
      </x:c>
      <x:c r="C53" s="36" t="s">
        <x:v>28</x:v>
      </x:c>
      <x:c r="D53" s="36" t="s">
        <x:v>29</x:v>
      </x:c>
      <x:c r="E53" s="37" t="s">
        <x:v>30</x:v>
      </x:c>
      <x:c r="F53" s="36" t="s">
        <x:v>29</x:v>
      </x:c>
      <x:c r="G53" s="37" t="s">
        <x:v>31</x:v>
      </x:c>
      <x:c r="H53" s="38" t="s">
        <x:v>393</x:v>
      </x:c>
      <x:c r="I53" s="39" t="s">
        <x:v>394</x:v>
      </x:c>
      <x:c r="J53" s="36" t="s">
        <x:v>398</x:v>
      </x:c>
      <x:c r="K53" s="37" t="s">
        <x:v>399</x:v>
      </x:c>
      <x:c r="L53" s="36"/>
      <x:c r="M53" s="36"/>
      <x:c r="N53" s="40"/>
      <x:c r="O53" s="36" t="s">
        <x:v>113</x:v>
      </x:c>
      <x:c r="P53" s="37" t="s">
        <x:v>400</x:v>
      </x:c>
      <x:c r="Q53" s="36" t="s">
        <x:v>40</x:v>
      </x:c>
      <x:c r="R53" s="41" t="s">
        <x:v>401</x:v>
      </x:c>
      <x:c r="S53" s="37"/>
      <x:c r="T53" s="42" t="s">
        <x:v>30</x:v>
      </x:c>
      <x:c r="U53" s="43" t="s">
        <x:v>41</x:v>
      </x:c>
      <x:c r="V53" s="43" t="s">
        <x:v>117</x:v>
      </x:c>
      <x:c r="W53" s="8" t="str">
        <x:f>+VLOOKUP($A53,'TMS- NODE'!$A$6:$N$260,6,0)</x:f>
        <x:v>107.590995934899,16.4615125722067</x:v>
      </x:c>
    </x:row>
    <x:row r="54">
      <x:c r="A54" s="34" t="s">
        <x:v>402</x:v>
      </x:c>
      <x:c r="B54" s="35" t="s">
        <x:v>403</x:v>
      </x:c>
      <x:c r="C54" s="36" t="s">
        <x:v>28</x:v>
      </x:c>
      <x:c r="D54" s="36" t="s">
        <x:v>29</x:v>
      </x:c>
      <x:c r="E54" s="37" t="s">
        <x:v>30</x:v>
      </x:c>
      <x:c r="F54" s="36" t="s">
        <x:v>29</x:v>
      </x:c>
      <x:c r="G54" s="37" t="s">
        <x:v>31</x:v>
      </x:c>
      <x:c r="H54" s="38" t="s">
        <x:v>393</x:v>
      </x:c>
      <x:c r="I54" s="39" t="s">
        <x:v>404</x:v>
      </x:c>
      <x:c r="J54" s="36" t="s">
        <x:v>403</x:v>
      </x:c>
      <x:c r="K54" s="37" t="s">
        <x:v>405</x:v>
      </x:c>
      <x:c r="L54" s="36" t="s">
        <x:v>110</x:v>
      </x:c>
      <x:c r="M54" s="36" t="s">
        <x:v>111</x:v>
      </x:c>
      <x:c r="N54" s="40" t="s">
        <x:v>112</x:v>
      </x:c>
      <x:c r="O54" s="36" t="s">
        <x:v>113</x:v>
      </x:c>
      <x:c r="P54" s="37" t="s">
        <x:v>197</x:v>
      </x:c>
      <x:c r="Q54" s="36" t="s">
        <x:v>40</x:v>
      </x:c>
      <x:c r="R54" s="41" t="s">
        <x:v>406</x:v>
      </x:c>
      <x:c r="S54" s="37"/>
      <x:c r="T54" s="42" t="s">
        <x:v>30</x:v>
      </x:c>
      <x:c r="U54" s="43" t="s">
        <x:v>41</x:v>
      </x:c>
      <x:c r="V54" s="43" t="s">
        <x:v>117</x:v>
      </x:c>
      <x:c r="W54" s="8" t="str">
        <x:f>+VLOOKUP($A54,'TMS- NODE'!$A$6:$N$260,6,0)</x:f>
        <x:v>107.590361744488,16.4648889303289</x:v>
      </x:c>
    </x:row>
    <x:row r="55">
      <x:c r="A55" s="34" t="s">
        <x:v>407</x:v>
      </x:c>
      <x:c r="B55" s="35" t="s">
        <x:v>408</x:v>
      </x:c>
      <x:c r="C55" s="36" t="s">
        <x:v>28</x:v>
      </x:c>
      <x:c r="D55" s="36" t="s">
        <x:v>29</x:v>
      </x:c>
      <x:c r="E55" s="37" t="s">
        <x:v>30</x:v>
      </x:c>
      <x:c r="F55" s="36" t="s">
        <x:v>29</x:v>
      </x:c>
      <x:c r="G55" s="37" t="s">
        <x:v>31</x:v>
      </x:c>
      <x:c r="H55" s="38" t="s">
        <x:v>393</x:v>
      </x:c>
      <x:c r="I55" s="39" t="s">
        <x:v>394</x:v>
      </x:c>
      <x:c r="J55" s="36" t="s">
        <x:v>408</x:v>
      </x:c>
      <x:c r="K55" s="37" t="s">
        <x:v>409</x:v>
      </x:c>
      <x:c r="L55" s="36"/>
      <x:c r="M55" s="36"/>
      <x:c r="N55" s="40"/>
      <x:c r="O55" s="36" t="s">
        <x:v>113</x:v>
      </x:c>
      <x:c r="P55" s="37" t="s">
        <x:v>410</x:v>
      </x:c>
      <x:c r="Q55" s="36" t="s">
        <x:v>40</x:v>
      </x:c>
      <x:c r="R55" s="41" t="s">
        <x:v>411</x:v>
      </x:c>
      <x:c r="S55" s="37"/>
      <x:c r="T55" s="42" t="s">
        <x:v>30</x:v>
      </x:c>
      <x:c r="U55" s="43" t="s">
        <x:v>41</x:v>
      </x:c>
      <x:c r="V55" s="43" t="s">
        <x:v>117</x:v>
      </x:c>
      <x:c r="W55" s="8" t="str">
        <x:f>+VLOOKUP($A55,'TMS- NODE'!$A$6:$N$260,6,0)</x:f>
        <x:v>107.594419049323,16.4707404016886</x:v>
      </x:c>
    </x:row>
    <x:row r="56">
      <x:c r="A56" s="34" t="s">
        <x:v>412</x:v>
      </x:c>
      <x:c r="B56" s="35" t="s">
        <x:v>413</x:v>
      </x:c>
      <x:c r="C56" s="36" t="s">
        <x:v>28</x:v>
      </x:c>
      <x:c r="D56" s="36" t="s">
        <x:v>29</x:v>
      </x:c>
      <x:c r="E56" s="37" t="s">
        <x:v>30</x:v>
      </x:c>
      <x:c r="F56" s="36" t="s">
        <x:v>29</x:v>
      </x:c>
      <x:c r="G56" s="37" t="s">
        <x:v>31</x:v>
      </x:c>
      <x:c r="H56" s="38" t="s">
        <x:v>81</x:v>
      </x:c>
      <x:c r="I56" s="39" t="s">
        <x:v>82</x:v>
      </x:c>
      <x:c r="J56" s="36" t="s">
        <x:v>413</x:v>
      </x:c>
      <x:c r="K56" s="37" t="s">
        <x:v>414</x:v>
      </x:c>
      <x:c r="L56" s="36"/>
      <x:c r="M56" s="36"/>
      <x:c r="N56" s="40"/>
      <x:c r="O56" s="36" t="s">
        <x:v>113</x:v>
      </x:c>
      <x:c r="P56" s="37" t="s">
        <x:v>415</x:v>
      </x:c>
      <x:c r="Q56" s="36" t="s">
        <x:v>40</x:v>
      </x:c>
      <x:c r="R56" s="41" t="s">
        <x:v>416</x:v>
      </x:c>
      <x:c r="S56" s="37"/>
      <x:c r="T56" s="42" t="s">
        <x:v>30</x:v>
      </x:c>
      <x:c r="U56" s="43" t="s">
        <x:v>41</x:v>
      </x:c>
      <x:c r="V56" s="43" t="s">
        <x:v>117</x:v>
      </x:c>
      <x:c r="W56" s="8" t="str">
        <x:f>+VLOOKUP($A56,'TMS- NODE'!$A$6:$N$260,6,0)</x:f>
        <x:v>107.594419049323,16.4707404016886</x:v>
      </x:c>
    </x:row>
    <x:row r="57">
      <x:c r="A57" s="34" t="s">
        <x:v>417</x:v>
      </x:c>
      <x:c r="B57" s="35" t="s">
        <x:v>418</x:v>
      </x:c>
      <x:c r="C57" s="36" t="s">
        <x:v>28</x:v>
      </x:c>
      <x:c r="D57" s="36" t="s">
        <x:v>29</x:v>
      </x:c>
      <x:c r="E57" s="37" t="s">
        <x:v>30</x:v>
      </x:c>
      <x:c r="F57" s="36" t="s">
        <x:v>29</x:v>
      </x:c>
      <x:c r="G57" s="37" t="s">
        <x:v>31</x:v>
      </x:c>
      <x:c r="H57" s="38" t="s">
        <x:v>81</x:v>
      </x:c>
      <x:c r="I57" s="39" t="s">
        <x:v>82</x:v>
      </x:c>
      <x:c r="J57" s="36" t="s">
        <x:v>418</x:v>
      </x:c>
      <x:c r="K57" s="37" t="s">
        <x:v>419</x:v>
      </x:c>
      <x:c r="L57" s="36"/>
      <x:c r="M57" s="36"/>
      <x:c r="N57" s="40"/>
      <x:c r="O57" s="36" t="s">
        <x:v>113</x:v>
      </x:c>
      <x:c r="P57" s="37" t="s">
        <x:v>420</x:v>
      </x:c>
      <x:c r="Q57" s="36" t="s">
        <x:v>40</x:v>
      </x:c>
      <x:c r="R57" s="41" t="s">
        <x:v>421</x:v>
      </x:c>
      <x:c r="S57" s="37"/>
      <x:c r="T57" s="42" t="s">
        <x:v>30</x:v>
      </x:c>
      <x:c r="U57" s="43" t="s">
        <x:v>41</x:v>
      </x:c>
      <x:c r="V57" s="43" t="s">
        <x:v>117</x:v>
      </x:c>
      <x:c r="W57" s="8" t="str">
        <x:f>+VLOOKUP($A57,'TMS- NODE'!$A$6:$N$260,6,0)</x:f>
        <x:v>107.594543285314,16.4709945630545</x:v>
      </x:c>
    </x:row>
    <x:row r="58">
      <x:c r="A58" s="34" t="s">
        <x:v>422</x:v>
      </x:c>
      <x:c r="B58" s="35" t="s">
        <x:v>423</x:v>
      </x:c>
      <x:c r="C58" s="36" t="s">
        <x:v>28</x:v>
      </x:c>
      <x:c r="D58" s="36" t="s">
        <x:v>29</x:v>
      </x:c>
      <x:c r="E58" s="37" t="s">
        <x:v>30</x:v>
      </x:c>
      <x:c r="F58" s="36" t="s">
        <x:v>29</x:v>
      </x:c>
      <x:c r="G58" s="37" t="s">
        <x:v>31</x:v>
      </x:c>
      <x:c r="H58" s="38" t="s">
        <x:v>81</x:v>
      </x:c>
      <x:c r="I58" s="39" t="s">
        <x:v>82</x:v>
      </x:c>
      <x:c r="J58" s="36" t="s">
        <x:v>423</x:v>
      </x:c>
      <x:c r="K58" s="37" t="s">
        <x:v>424</x:v>
      </x:c>
      <x:c r="L58" s="36"/>
      <x:c r="M58" s="36"/>
      <x:c r="N58" s="40"/>
      <x:c r="O58" s="36" t="s">
        <x:v>113</x:v>
      </x:c>
      <x:c r="P58" s="37" t="s">
        <x:v>425</x:v>
      </x:c>
      <x:c r="Q58" s="36" t="s">
        <x:v>40</x:v>
      </x:c>
      <x:c r="R58" s="41" t="s">
        <x:v>426</x:v>
      </x:c>
      <x:c r="S58" s="37"/>
      <x:c r="T58" s="42" t="s">
        <x:v>30</x:v>
      </x:c>
      <x:c r="U58" s="43" t="s">
        <x:v>41</x:v>
      </x:c>
      <x:c r="V58" s="43" t="s">
        <x:v>117</x:v>
      </x:c>
      <x:c r="W58" s="8" t="str">
        <x:f>+VLOOKUP($A58,'TMS- NODE'!$A$6:$N$260,6,0)</x:f>
        <x:v>107.596241274009,16.4817551929892</x:v>
      </x:c>
    </x:row>
    <x:row r="59">
      <x:c r="A59" s="34" t="s">
        <x:v>427</x:v>
      </x:c>
      <x:c r="B59" s="35" t="s">
        <x:v>428</x:v>
      </x:c>
      <x:c r="C59" s="36" t="s">
        <x:v>28</x:v>
      </x:c>
      <x:c r="D59" s="36" t="s">
        <x:v>29</x:v>
      </x:c>
      <x:c r="E59" s="37" t="s">
        <x:v>30</x:v>
      </x:c>
      <x:c r="F59" s="36" t="s">
        <x:v>29</x:v>
      </x:c>
      <x:c r="G59" s="37" t="s">
        <x:v>31</x:v>
      </x:c>
      <x:c r="H59" s="38" t="s">
        <x:v>81</x:v>
      </x:c>
      <x:c r="I59" s="39" t="s">
        <x:v>82</x:v>
      </x:c>
      <x:c r="J59" s="36" t="s">
        <x:v>428</x:v>
      </x:c>
      <x:c r="K59" s="37" t="s">
        <x:v>429</x:v>
      </x:c>
      <x:c r="L59" s="36"/>
      <x:c r="M59" s="36"/>
      <x:c r="N59" s="40"/>
      <x:c r="O59" s="36" t="s">
        <x:v>113</x:v>
      </x:c>
      <x:c r="P59" s="37" t="s">
        <x:v>430</x:v>
      </x:c>
      <x:c r="Q59" s="36" t="s">
        <x:v>40</x:v>
      </x:c>
      <x:c r="R59" s="41" t="s">
        <x:v>431</x:v>
      </x:c>
      <x:c r="S59" s="37"/>
      <x:c r="T59" s="42" t="s">
        <x:v>30</x:v>
      </x:c>
      <x:c r="U59" s="43" t="s">
        <x:v>41</x:v>
      </x:c>
      <x:c r="V59" s="43" t="s">
        <x:v>117</x:v>
      </x:c>
      <x:c r="W59" s="8" t="str">
        <x:f>+VLOOKUP($A59,'TMS- NODE'!$A$6:$N$260,6,0)</x:f>
        <x:v>107.601837328985,16.4781141796924</x:v>
      </x:c>
    </x:row>
    <x:row r="60">
      <x:c r="A60" s="34" t="s">
        <x:v>432</x:v>
      </x:c>
      <x:c r="B60" s="35" t="s">
        <x:v>433</x:v>
      </x:c>
      <x:c r="C60" s="36" t="s">
        <x:v>28</x:v>
      </x:c>
      <x:c r="D60" s="36" t="s">
        <x:v>29</x:v>
      </x:c>
      <x:c r="E60" s="37" t="s">
        <x:v>30</x:v>
      </x:c>
      <x:c r="F60" s="36" t="s">
        <x:v>29</x:v>
      </x:c>
      <x:c r="G60" s="37" t="s">
        <x:v>31</x:v>
      </x:c>
      <x:c r="H60" s="38" t="s">
        <x:v>81</x:v>
      </x:c>
      <x:c r="I60" s="39" t="s">
        <x:v>82</x:v>
      </x:c>
      <x:c r="J60" s="36" t="s">
        <x:v>433</x:v>
      </x:c>
      <x:c r="K60" s="37" t="s">
        <x:v>434</x:v>
      </x:c>
      <x:c r="L60" s="36"/>
      <x:c r="M60" s="36"/>
      <x:c r="N60" s="40"/>
      <x:c r="O60" s="36" t="s">
        <x:v>113</x:v>
      </x:c>
      <x:c r="P60" s="37" t="s">
        <x:v>435</x:v>
      </x:c>
      <x:c r="Q60" s="36" t="s">
        <x:v>40</x:v>
      </x:c>
      <x:c r="R60" s="41" t="s">
        <x:v>436</x:v>
      </x:c>
      <x:c r="S60" s="37"/>
      <x:c r="T60" s="42" t="s">
        <x:v>30</x:v>
      </x:c>
      <x:c r="U60" s="43" t="s">
        <x:v>41</x:v>
      </x:c>
      <x:c r="V60" s="43" t="s">
        <x:v>117</x:v>
      </x:c>
      <x:c r="W60" s="8" t="str">
        <x:f>+VLOOKUP($A60,'TMS- NODE'!$A$6:$N$260,6,0)</x:f>
        <x:v>107.581871614873,16.4926706950063</x:v>
      </x:c>
    </x:row>
    <x:row r="61">
      <x:c r="A61" s="34" t="s">
        <x:v>437</x:v>
      </x:c>
      <x:c r="B61" s="35" t="s">
        <x:v>438</x:v>
      </x:c>
      <x:c r="C61" s="36" t="s">
        <x:v>28</x:v>
      </x:c>
      <x:c r="D61" s="36" t="s">
        <x:v>29</x:v>
      </x:c>
      <x:c r="E61" s="37" t="s">
        <x:v>30</x:v>
      </x:c>
      <x:c r="F61" s="36" t="s">
        <x:v>29</x:v>
      </x:c>
      <x:c r="G61" s="37" t="s">
        <x:v>31</x:v>
      </x:c>
      <x:c r="H61" s="38" t="s">
        <x:v>81</x:v>
      </x:c>
      <x:c r="I61" s="39" t="s">
        <x:v>82</x:v>
      </x:c>
      <x:c r="J61" s="36" t="s">
        <x:v>438</x:v>
      </x:c>
      <x:c r="K61" s="37" t="s">
        <x:v>439</x:v>
      </x:c>
      <x:c r="L61" s="36"/>
      <x:c r="M61" s="36"/>
      <x:c r="N61" s="40"/>
      <x:c r="O61" s="36" t="s">
        <x:v>113</x:v>
      </x:c>
      <x:c r="P61" s="37" t="s">
        <x:v>440</x:v>
      </x:c>
      <x:c r="Q61" s="36" t="s">
        <x:v>40</x:v>
      </x:c>
      <x:c r="R61" s="41" t="s">
        <x:v>441</x:v>
      </x:c>
      <x:c r="S61" s="37"/>
      <x:c r="T61" s="42" t="s">
        <x:v>30</x:v>
      </x:c>
      <x:c r="U61" s="43" t="s">
        <x:v>41</x:v>
      </x:c>
      <x:c r="V61" s="43" t="s">
        <x:v>117</x:v>
      </x:c>
      <x:c r="W61" s="8" t="str">
        <x:f>+VLOOKUP($A61,'TMS- NODE'!$A$6:$N$260,6,0)</x:f>
        <x:v>107.576638099691,16.4747829350371</x:v>
      </x:c>
    </x:row>
    <x:row r="62">
      <x:c r="A62" s="34" t="s">
        <x:v>442</x:v>
      </x:c>
      <x:c r="B62" s="35" t="s">
        <x:v>443</x:v>
      </x:c>
      <x:c r="C62" s="36" t="s">
        <x:v>28</x:v>
      </x:c>
      <x:c r="D62" s="36" t="s">
        <x:v>29</x:v>
      </x:c>
      <x:c r="E62" s="37" t="s">
        <x:v>30</x:v>
      </x:c>
      <x:c r="F62" s="36" t="s">
        <x:v>29</x:v>
      </x:c>
      <x:c r="G62" s="37" t="s">
        <x:v>31</x:v>
      </x:c>
      <x:c r="H62" s="38" t="s">
        <x:v>393</x:v>
      </x:c>
      <x:c r="I62" s="39" t="s">
        <x:v>394</x:v>
      </x:c>
      <x:c r="J62" s="36" t="s">
        <x:v>443</x:v>
      </x:c>
      <x:c r="K62" s="37" t="s">
        <x:v>444</x:v>
      </x:c>
      <x:c r="L62" s="36" t="s">
        <x:v>110</x:v>
      </x:c>
      <x:c r="M62" s="36" t="s">
        <x:v>111</x:v>
      </x:c>
      <x:c r="N62" s="40" t="s">
        <x:v>112</x:v>
      </x:c>
      <x:c r="O62" s="36" t="s">
        <x:v>113</x:v>
      </x:c>
      <x:c r="P62" s="37" t="s">
        <x:v>445</x:v>
      </x:c>
      <x:c r="Q62" s="36" t="s">
        <x:v>40</x:v>
      </x:c>
      <x:c r="R62" s="41" t="s">
        <x:v>446</x:v>
      </x:c>
      <x:c r="S62" s="37"/>
      <x:c r="T62" s="42" t="s">
        <x:v>30</x:v>
      </x:c>
      <x:c r="U62" s="43" t="s">
        <x:v>41</x:v>
      </x:c>
      <x:c r="V62" s="43" t="s">
        <x:v>117</x:v>
      </x:c>
      <x:c r="W62" s="8" t="str">
        <x:f>+VLOOKUP($A62,'TMS- NODE'!$A$6:$N$260,6,0)</x:f>
        <x:v>107.578327997799,16.4565881373454</x:v>
      </x:c>
    </x:row>
    <x:row r="63">
      <x:c r="A63" s="34" t="s">
        <x:v>447</x:v>
      </x:c>
      <x:c r="B63" s="35" t="s">
        <x:v>448</x:v>
      </x:c>
      <x:c r="C63" s="36" t="s">
        <x:v>28</x:v>
      </x:c>
      <x:c r="D63" s="36" t="s">
        <x:v>29</x:v>
      </x:c>
      <x:c r="E63" s="37" t="s">
        <x:v>30</x:v>
      </x:c>
      <x:c r="F63" s="36" t="s">
        <x:v>29</x:v>
      </x:c>
      <x:c r="G63" s="37" t="s">
        <x:v>31</x:v>
      </x:c>
      <x:c r="H63" s="38" t="s">
        <x:v>81</x:v>
      </x:c>
      <x:c r="I63" s="39" t="s">
        <x:v>82</x:v>
      </x:c>
      <x:c r="J63" s="36" t="s">
        <x:v>448</x:v>
      </x:c>
      <x:c r="K63" s="37" t="s">
        <x:v>449</x:v>
      </x:c>
      <x:c r="L63" s="36"/>
      <x:c r="M63" s="36"/>
      <x:c r="N63" s="40"/>
      <x:c r="O63" s="36" t="s">
        <x:v>113</x:v>
      </x:c>
      <x:c r="P63" s="37" t="s">
        <x:v>450</x:v>
      </x:c>
      <x:c r="Q63" s="36" t="s">
        <x:v>40</x:v>
      </x:c>
      <x:c r="R63" s="41" t="s">
        <x:v>451</x:v>
      </x:c>
      <x:c r="S63" s="37"/>
      <x:c r="T63" s="42" t="s">
        <x:v>30</x:v>
      </x:c>
      <x:c r="U63" s="43" t="s">
        <x:v>41</x:v>
      </x:c>
      <x:c r="V63" s="43" t="s">
        <x:v>117</x:v>
      </x:c>
      <x:c r="W63" s="8" t="str">
        <x:f>+VLOOKUP($A63,'TMS- NODE'!$A$6:$N$260,6,0)</x:f>
        <x:v>107.555425254238,16.4507051379422</x:v>
      </x:c>
    </x:row>
    <x:row r="64">
      <x:c r="A64" s="34" t="s">
        <x:v>452</x:v>
      </x:c>
      <x:c r="B64" s="35" t="s">
        <x:v>453</x:v>
      </x:c>
      <x:c r="C64" s="36" t="s">
        <x:v>28</x:v>
      </x:c>
      <x:c r="D64" s="36" t="s">
        <x:v>29</x:v>
      </x:c>
      <x:c r="E64" s="37" t="s">
        <x:v>30</x:v>
      </x:c>
      <x:c r="F64" s="36" t="s">
        <x:v>29</x:v>
      </x:c>
      <x:c r="G64" s="37" t="s">
        <x:v>31</x:v>
      </x:c>
      <x:c r="H64" s="38" t="s">
        <x:v>81</x:v>
      </x:c>
      <x:c r="I64" s="39" t="s">
        <x:v>82</x:v>
      </x:c>
      <x:c r="J64" s="36" t="s">
        <x:v>453</x:v>
      </x:c>
      <x:c r="K64" s="37" t="s">
        <x:v>454</x:v>
      </x:c>
      <x:c r="L64" s="36"/>
      <x:c r="M64" s="36"/>
      <x:c r="N64" s="40"/>
      <x:c r="O64" s="36" t="s">
        <x:v>113</x:v>
      </x:c>
      <x:c r="P64" s="37" t="s">
        <x:v>455</x:v>
      </x:c>
      <x:c r="Q64" s="36" t="s">
        <x:v>40</x:v>
      </x:c>
      <x:c r="R64" s="41" t="s">
        <x:v>456</x:v>
      </x:c>
      <x:c r="S64" s="37"/>
      <x:c r="T64" s="42" t="s">
        <x:v>30</x:v>
      </x:c>
      <x:c r="U64" s="43" t="s">
        <x:v>41</x:v>
      </x:c>
      <x:c r="V64" s="43" t="s">
        <x:v>117</x:v>
      </x:c>
      <x:c r="W64" s="8" t="str">
        <x:f>+VLOOKUP($A64,'TMS- NODE'!$A$6:$N$260,6,0)</x:f>
        <x:v>107.586902366362,16.4507226222191</x:v>
      </x:c>
    </x:row>
    <x:row r="65">
      <x:c r="A65" s="34" t="s">
        <x:v>457</x:v>
      </x:c>
      <x:c r="B65" s="35" t="s">
        <x:v>458</x:v>
      </x:c>
      <x:c r="C65" s="36" t="s">
        <x:v>28</x:v>
      </x:c>
      <x:c r="D65" s="36" t="s">
        <x:v>29</x:v>
      </x:c>
      <x:c r="E65" s="37" t="s">
        <x:v>30</x:v>
      </x:c>
      <x:c r="F65" s="36" t="s">
        <x:v>29</x:v>
      </x:c>
      <x:c r="G65" s="37" t="s">
        <x:v>31</x:v>
      </x:c>
      <x:c r="H65" s="38" t="s">
        <x:v>393</x:v>
      </x:c>
      <x:c r="I65" s="39" t="s">
        <x:v>394</x:v>
      </x:c>
      <x:c r="J65" s="36" t="s">
        <x:v>458</x:v>
      </x:c>
      <x:c r="K65" s="37" t="s">
        <x:v>459</x:v>
      </x:c>
      <x:c r="L65" s="36"/>
      <x:c r="M65" s="36"/>
      <x:c r="N65" s="40"/>
      <x:c r="O65" s="36" t="s">
        <x:v>113</x:v>
      </x:c>
      <x:c r="P65" s="37" t="s">
        <x:v>460</x:v>
      </x:c>
      <x:c r="Q65" s="36" t="s">
        <x:v>40</x:v>
      </x:c>
      <x:c r="R65" s="41" t="s">
        <x:v>461</x:v>
      </x:c>
      <x:c r="S65" s="37"/>
      <x:c r="T65" s="42" t="s">
        <x:v>30</x:v>
      </x:c>
      <x:c r="U65" s="43" t="s">
        <x:v>41</x:v>
      </x:c>
      <x:c r="V65" s="43" t="s">
        <x:v>117</x:v>
      </x:c>
      <x:c r="W65" s="8" t="str">
        <x:f>+VLOOKUP($A65,'TMS- NODE'!$A$6:$N$260,6,0)</x:f>
        <x:v>107.588966400825,16.4510322930698</x:v>
      </x:c>
    </x:row>
    <x:row r="66">
      <x:c r="A66" s="34" t="s">
        <x:v>462</x:v>
      </x:c>
      <x:c r="B66" s="35" t="s">
        <x:v>463</x:v>
      </x:c>
      <x:c r="C66" s="36" t="s">
        <x:v>28</x:v>
      </x:c>
      <x:c r="D66" s="36" t="s">
        <x:v>29</x:v>
      </x:c>
      <x:c r="E66" s="37" t="s">
        <x:v>30</x:v>
      </x:c>
      <x:c r="F66" s="36" t="s">
        <x:v>29</x:v>
      </x:c>
      <x:c r="G66" s="37" t="s">
        <x:v>31</x:v>
      </x:c>
      <x:c r="H66" s="38" t="s">
        <x:v>81</x:v>
      </x:c>
      <x:c r="I66" s="39" t="s">
        <x:v>82</x:v>
      </x:c>
      <x:c r="J66" s="36" t="s">
        <x:v>463</x:v>
      </x:c>
      <x:c r="K66" s="37" t="s">
        <x:v>464</x:v>
      </x:c>
      <x:c r="L66" s="36"/>
      <x:c r="M66" s="36"/>
      <x:c r="N66" s="40"/>
      <x:c r="O66" s="36" t="s">
        <x:v>113</x:v>
      </x:c>
      <x:c r="P66" s="37" t="s">
        <x:v>465</x:v>
      </x:c>
      <x:c r="Q66" s="36" t="s">
        <x:v>40</x:v>
      </x:c>
      <x:c r="R66" s="41" t="s">
        <x:v>466</x:v>
      </x:c>
      <x:c r="S66" s="37"/>
      <x:c r="T66" s="42" t="s">
        <x:v>30</x:v>
      </x:c>
      <x:c r="U66" s="43" t="s">
        <x:v>41</x:v>
      </x:c>
      <x:c r="V66" s="43" t="s">
        <x:v>117</x:v>
      </x:c>
      <x:c r="W66" s="8" t="str">
        <x:f>+VLOOKUP($A66,'TMS- NODE'!$A$6:$N$260,6,0)</x:f>
        <x:v>107.603787630295,16.4513840270757</x:v>
      </x:c>
    </x:row>
    <x:row r="67">
      <x:c r="A67" s="34" t="s">
        <x:v>467</x:v>
      </x:c>
      <x:c r="B67" s="35" t="s">
        <x:v>468</x:v>
      </x:c>
      <x:c r="C67" s="36" t="s">
        <x:v>28</x:v>
      </x:c>
      <x:c r="D67" s="36" t="s">
        <x:v>29</x:v>
      </x:c>
      <x:c r="E67" s="37" t="s">
        <x:v>30</x:v>
      </x:c>
      <x:c r="F67" s="36" t="s">
        <x:v>29</x:v>
      </x:c>
      <x:c r="G67" s="37" t="s">
        <x:v>31</x:v>
      </x:c>
      <x:c r="H67" s="38" t="s">
        <x:v>393</x:v>
      </x:c>
      <x:c r="I67" s="39" t="s">
        <x:v>394</x:v>
      </x:c>
      <x:c r="J67" s="36" t="s">
        <x:v>468</x:v>
      </x:c>
      <x:c r="K67" s="37" t="s">
        <x:v>469</x:v>
      </x:c>
      <x:c r="L67" s="36" t="s">
        <x:v>470</x:v>
      </x:c>
      <x:c r="M67" s="36" t="s">
        <x:v>471</x:v>
      </x:c>
      <x:c r="N67" s="40" t="s">
        <x:v>472</x:v>
      </x:c>
      <x:c r="O67" s="36" t="s">
        <x:v>113</x:v>
      </x:c>
      <x:c r="P67" s="37" t="s">
        <x:v>473</x:v>
      </x:c>
      <x:c r="Q67" s="36" t="s">
        <x:v>40</x:v>
      </x:c>
      <x:c r="R67" s="41" t="s">
        <x:v>474</x:v>
      </x:c>
      <x:c r="S67" s="37"/>
      <x:c r="T67" s="42" t="s">
        <x:v>30</x:v>
      </x:c>
      <x:c r="U67" s="43" t="s">
        <x:v>41</x:v>
      </x:c>
      <x:c r="V67" s="43" t="s">
        <x:v>117</x:v>
      </x:c>
      <x:c r="W67" s="8" t="str">
        <x:f>+VLOOKUP($A67,'TMS- NODE'!$A$6:$N$260,6,0)</x:f>
        <x:v>107.601584791815,16.4530899429556</x:v>
      </x:c>
    </x:row>
    <x:row r="68">
      <x:c r="A68" s="34" t="s">
        <x:v>475</x:v>
      </x:c>
      <x:c r="B68" s="35" t="s">
        <x:v>476</x:v>
      </x:c>
      <x:c r="C68" s="36" t="s">
        <x:v>28</x:v>
      </x:c>
      <x:c r="D68" s="36" t="s">
        <x:v>29</x:v>
      </x:c>
      <x:c r="E68" s="37" t="s">
        <x:v>30</x:v>
      </x:c>
      <x:c r="F68" s="36" t="s">
        <x:v>29</x:v>
      </x:c>
      <x:c r="G68" s="37" t="s">
        <x:v>31</x:v>
      </x:c>
      <x:c r="H68" s="38" t="s">
        <x:v>393</x:v>
      </x:c>
      <x:c r="I68" s="39" t="s">
        <x:v>394</x:v>
      </x:c>
      <x:c r="J68" s="36" t="s">
        <x:v>476</x:v>
      </x:c>
      <x:c r="K68" s="37" t="s">
        <x:v>477</x:v>
      </x:c>
      <x:c r="L68" s="36"/>
      <x:c r="M68" s="36"/>
      <x:c r="N68" s="40"/>
      <x:c r="O68" s="36" t="s">
        <x:v>113</x:v>
      </x:c>
      <x:c r="P68" s="37" t="s">
        <x:v>478</x:v>
      </x:c>
      <x:c r="Q68" s="36" t="s">
        <x:v>40</x:v>
      </x:c>
      <x:c r="R68" s="41" t="s">
        <x:v>476</x:v>
      </x:c>
      <x:c r="S68" s="37"/>
      <x:c r="T68" s="42" t="s">
        <x:v>30</x:v>
      </x:c>
      <x:c r="U68" s="43" t="s">
        <x:v>41</x:v>
      </x:c>
      <x:c r="V68" s="43" t="s">
        <x:v>117</x:v>
      </x:c>
      <x:c r="W68" s="8" t="str">
        <x:f>+VLOOKUP($A68,'TMS- NODE'!$A$6:$N$260,6,0)</x:f>
        <x:v>107.558181340755,16.5313230571887</x:v>
      </x:c>
    </x:row>
    <x:row r="69">
      <x:c r="A69" s="34" t="s">
        <x:v>479</x:v>
      </x:c>
      <x:c r="B69" s="35" t="s">
        <x:v>480</x:v>
      </x:c>
      <x:c r="C69" s="36" t="s">
        <x:v>28</x:v>
      </x:c>
      <x:c r="D69" s="36" t="s">
        <x:v>29</x:v>
      </x:c>
      <x:c r="E69" s="37" t="s">
        <x:v>30</x:v>
      </x:c>
      <x:c r="F69" s="36" t="s">
        <x:v>29</x:v>
      </x:c>
      <x:c r="G69" s="37" t="s">
        <x:v>31</x:v>
      </x:c>
      <x:c r="H69" s="38" t="s">
        <x:v>481</x:v>
      </x:c>
      <x:c r="I69" s="39" t="s">
        <x:v>482</x:v>
      </x:c>
      <x:c r="J69" s="36" t="s">
        <x:v>480</x:v>
      </x:c>
      <x:c r="K69" s="37" t="s">
        <x:v>483</x:v>
      </x:c>
      <x:c r="L69" s="36" t="s">
        <x:v>131</x:v>
      </x:c>
      <x:c r="M69" s="36" t="s">
        <x:v>132</x:v>
      </x:c>
      <x:c r="N69" s="40" t="s">
        <x:v>133</x:v>
      </x:c>
      <x:c r="O69" s="36" t="s">
        <x:v>113</x:v>
      </x:c>
      <x:c r="P69" s="37" t="s">
        <x:v>484</x:v>
      </x:c>
      <x:c r="Q69" s="36" t="s">
        <x:v>40</x:v>
      </x:c>
      <x:c r="R69" s="41" t="s">
        <x:v>485</x:v>
      </x:c>
      <x:c r="S69" s="37"/>
      <x:c r="T69" s="42" t="s">
        <x:v>30</x:v>
      </x:c>
      <x:c r="U69" s="43" t="s">
        <x:v>41</x:v>
      </x:c>
      <x:c r="V69" s="43" t="s">
        <x:v>117</x:v>
      </x:c>
      <x:c r="W69" s="8" t="str">
        <x:f>+VLOOKUP($A69,'TMS- NODE'!$A$6:$N$260,6,0)</x:f>
        <x:v>107.475963154093,16.5249699219938</x:v>
      </x:c>
    </x:row>
    <x:row r="70">
      <x:c r="A70" s="34" t="s">
        <x:v>486</x:v>
      </x:c>
      <x:c r="B70" s="35" t="s">
        <x:v>487</x:v>
      </x:c>
      <x:c r="C70" s="36" t="s">
        <x:v>28</x:v>
      </x:c>
      <x:c r="D70" s="36" t="s">
        <x:v>29</x:v>
      </x:c>
      <x:c r="E70" s="37" t="s">
        <x:v>30</x:v>
      </x:c>
      <x:c r="F70" s="36" t="s">
        <x:v>29</x:v>
      </x:c>
      <x:c r="G70" s="37" t="s">
        <x:v>31</x:v>
      </x:c>
      <x:c r="H70" s="38" t="s">
        <x:v>393</x:v>
      </x:c>
      <x:c r="I70" s="39" t="s">
        <x:v>394</x:v>
      </x:c>
      <x:c r="J70" s="36" t="s">
        <x:v>487</x:v>
      </x:c>
      <x:c r="K70" s="37" t="s">
        <x:v>488</x:v>
      </x:c>
      <x:c r="L70" s="36"/>
      <x:c r="M70" s="36"/>
      <x:c r="N70" s="40"/>
      <x:c r="O70" s="36" t="s">
        <x:v>113</x:v>
      </x:c>
      <x:c r="P70" s="37" t="s">
        <x:v>489</x:v>
      </x:c>
      <x:c r="Q70" s="36" t="s">
        <x:v>40</x:v>
      </x:c>
      <x:c r="R70" s="41" t="s">
        <x:v>490</x:v>
      </x:c>
      <x:c r="S70" s="37"/>
      <x:c r="T70" s="42" t="s">
        <x:v>30</x:v>
      </x:c>
      <x:c r="U70" s="43" t="s">
        <x:v>41</x:v>
      </x:c>
      <x:c r="V70" s="43" t="s">
        <x:v>117</x:v>
      </x:c>
      <x:c r="W70" s="8" t="str">
        <x:f>+VLOOKUP($A70,'TMS- NODE'!$A$6:$N$260,6,0)</x:f>
        <x:v>107.498240648724,16.5116370318013</x:v>
      </x:c>
    </x:row>
    <x:row r="71">
      <x:c r="A71" s="34" t="s">
        <x:v>491</x:v>
      </x:c>
      <x:c r="B71" s="35" t="s">
        <x:v>492</x:v>
      </x:c>
      <x:c r="C71" s="36" t="s">
        <x:v>28</x:v>
      </x:c>
      <x:c r="D71" s="36" t="s">
        <x:v>29</x:v>
      </x:c>
      <x:c r="E71" s="37" t="s">
        <x:v>30</x:v>
      </x:c>
      <x:c r="F71" s="36" t="s">
        <x:v>29</x:v>
      </x:c>
      <x:c r="G71" s="37" t="s">
        <x:v>31</x:v>
      </x:c>
      <x:c r="H71" s="38" t="s">
        <x:v>393</x:v>
      </x:c>
      <x:c r="I71" s="39" t="s">
        <x:v>394</x:v>
      </x:c>
      <x:c r="J71" s="36" t="s">
        <x:v>492</x:v>
      </x:c>
      <x:c r="K71" s="37" t="s">
        <x:v>493</x:v>
      </x:c>
      <x:c r="L71" s="36" t="s">
        <x:v>48</x:v>
      </x:c>
      <x:c r="M71" s="36" t="s">
        <x:v>49</x:v>
      </x:c>
      <x:c r="N71" s="40" t="s">
        <x:v>50</x:v>
      </x:c>
      <x:c r="O71" s="36" t="s">
        <x:v>113</x:v>
      </x:c>
      <x:c r="P71" s="37" t="s">
        <x:v>494</x:v>
      </x:c>
      <x:c r="Q71" s="36" t="s">
        <x:v>40</x:v>
      </x:c>
      <x:c r="R71" s="41" t="s">
        <x:v>495</x:v>
      </x:c>
      <x:c r="S71" s="37"/>
      <x:c r="T71" s="42" t="s">
        <x:v>30</x:v>
      </x:c>
      <x:c r="U71" s="43" t="s">
        <x:v>41</x:v>
      </x:c>
      <x:c r="V71" s="43" t="s">
        <x:v>117</x:v>
      </x:c>
      <x:c r="W71" s="8" t="str">
        <x:f>+VLOOKUP($A71,'TMS- NODE'!$A$6:$N$260,6,0)</x:f>
        <x:v>107.69989514311,16.3895922770709</x:v>
      </x:c>
    </x:row>
    <x:row r="72">
      <x:c r="A72" s="34" t="s">
        <x:v>496</x:v>
      </x:c>
      <x:c r="B72" s="35" t="s">
        <x:v>497</x:v>
      </x:c>
      <x:c r="C72" s="36" t="s">
        <x:v>28</x:v>
      </x:c>
      <x:c r="D72" s="36" t="s">
        <x:v>29</x:v>
      </x:c>
      <x:c r="E72" s="37" t="s">
        <x:v>30</x:v>
      </x:c>
      <x:c r="F72" s="36" t="s">
        <x:v>29</x:v>
      </x:c>
      <x:c r="G72" s="37" t="s">
        <x:v>31</x:v>
      </x:c>
      <x:c r="H72" s="38" t="s">
        <x:v>393</x:v>
      </x:c>
      <x:c r="I72" s="39" t="s">
        <x:v>394</x:v>
      </x:c>
      <x:c r="J72" s="36" t="s">
        <x:v>497</x:v>
      </x:c>
      <x:c r="K72" s="37" t="s">
        <x:v>498</x:v>
      </x:c>
      <x:c r="L72" s="36"/>
      <x:c r="M72" s="36"/>
      <x:c r="N72" s="40"/>
      <x:c r="O72" s="36" t="s">
        <x:v>113</x:v>
      </x:c>
      <x:c r="P72" s="37" t="s">
        <x:v>499</x:v>
      </x:c>
      <x:c r="Q72" s="36" t="s">
        <x:v>40</x:v>
      </x:c>
      <x:c r="R72" s="41" t="s">
        <x:v>500</x:v>
      </x:c>
      <x:c r="S72" s="37"/>
      <x:c r="T72" s="42" t="s">
        <x:v>30</x:v>
      </x:c>
      <x:c r="U72" s="43" t="s">
        <x:v>41</x:v>
      </x:c>
      <x:c r="V72" s="43" t="s">
        <x:v>117</x:v>
      </x:c>
      <x:c r="W72" s="8" t="str">
        <x:f>+VLOOKUP($A72,'TMS- NODE'!$A$6:$N$260,6,0)</x:f>
        <x:v>107.658810858383,16.4132254951765</x:v>
      </x:c>
    </x:row>
    <x:row r="73">
      <x:c r="A73" s="34" t="s">
        <x:v>501</x:v>
      </x:c>
      <x:c r="B73" s="35" t="s">
        <x:v>502</x:v>
      </x:c>
      <x:c r="C73" s="36" t="s">
        <x:v>28</x:v>
      </x:c>
      <x:c r="D73" s="36" t="s">
        <x:v>29</x:v>
      </x:c>
      <x:c r="E73" s="37" t="s">
        <x:v>30</x:v>
      </x:c>
      <x:c r="F73" s="36" t="s">
        <x:v>29</x:v>
      </x:c>
      <x:c r="G73" s="37" t="s">
        <x:v>31</x:v>
      </x:c>
      <x:c r="H73" s="38" t="s">
        <x:v>503</x:v>
      </x:c>
      <x:c r="I73" s="39" t="s">
        <x:v>504</x:v>
      </x:c>
      <x:c r="J73" s="36" t="s">
        <x:v>502</x:v>
      </x:c>
      <x:c r="K73" s="37" t="s">
        <x:v>505</x:v>
      </x:c>
      <x:c r="L73" s="36"/>
      <x:c r="M73" s="36"/>
      <x:c r="N73" s="40"/>
      <x:c r="O73" s="36" t="e"/>
      <x:c r="P73" s="37"/>
      <x:c r="Q73" s="36" t="s">
        <x:v>40</x:v>
      </x:c>
      <x:c r="R73" s="41"/>
      <x:c r="S73" s="37"/>
      <x:c r="T73" s="42" t="s">
        <x:v>30</x:v>
      </x:c>
      <x:c r="U73" s="43" t="s">
        <x:v>41</x:v>
      </x:c>
      <x:c r="V73" s="43" t="s">
        <x:v>117</x:v>
      </x:c>
      <x:c r="W73" s="8" t="e">
        <x:f>+VLOOKUP($A73,'TMS- NODE'!$A$6:$N$260,6,0)</x:f>
      </x:c>
    </x:row>
    <x:row r="74">
      <x:c r="A74" s="34" t="s">
        <x:v>506</x:v>
      </x:c>
      <x:c r="B74" s="35" t="s">
        <x:v>507</x:v>
      </x:c>
      <x:c r="C74" s="36" t="s">
        <x:v>28</x:v>
      </x:c>
      <x:c r="D74" s="36" t="s">
        <x:v>29</x:v>
      </x:c>
      <x:c r="E74" s="37" t="s">
        <x:v>30</x:v>
      </x:c>
      <x:c r="F74" s="36" t="s">
        <x:v>29</x:v>
      </x:c>
      <x:c r="G74" s="37" t="s">
        <x:v>31</x:v>
      </x:c>
      <x:c r="H74" s="38" t="s">
        <x:v>503</x:v>
      </x:c>
      <x:c r="I74" s="39" t="s">
        <x:v>504</x:v>
      </x:c>
      <x:c r="J74" s="36" t="s">
        <x:v>507</x:v>
      </x:c>
      <x:c r="K74" s="37" t="s">
        <x:v>505</x:v>
      </x:c>
      <x:c r="L74" s="36" t="s">
        <x:v>48</x:v>
      </x:c>
      <x:c r="M74" s="36" t="s">
        <x:v>49</x:v>
      </x:c>
      <x:c r="N74" s="40" t="s">
        <x:v>50</x:v>
      </x:c>
      <x:c r="O74" s="36" t="s">
        <x:v>113</x:v>
      </x:c>
      <x:c r="P74" s="37" t="s">
        <x:v>508</x:v>
      </x:c>
      <x:c r="Q74" s="36" t="s">
        <x:v>40</x:v>
      </x:c>
      <x:c r="R74" s="41" t="s">
        <x:v>507</x:v>
      </x:c>
      <x:c r="S74" s="37"/>
      <x:c r="T74" s="42" t="s">
        <x:v>30</x:v>
      </x:c>
      <x:c r="U74" s="43" t="s">
        <x:v>41</x:v>
      </x:c>
      <x:c r="V74" s="43" t="s">
        <x:v>117</x:v>
      </x:c>
      <x:c r="W74" s="8" t="str">
        <x:f>+VLOOKUP($A74,'TMS- NODE'!$A$6:$N$260,6,0)</x:f>
        <x:v>107.688858973105,16.3837080161244</x:v>
      </x:c>
    </x:row>
    <x:row r="75">
      <x:c r="A75" s="34" t="s">
        <x:v>509</x:v>
      </x:c>
      <x:c r="B75" s="35" t="s">
        <x:v>510</x:v>
      </x:c>
      <x:c r="C75" s="36" t="s">
        <x:v>28</x:v>
      </x:c>
      <x:c r="D75" s="36" t="s">
        <x:v>29</x:v>
      </x:c>
      <x:c r="E75" s="37" t="s">
        <x:v>30</x:v>
      </x:c>
      <x:c r="F75" s="36" t="s">
        <x:v>29</x:v>
      </x:c>
      <x:c r="G75" s="37" t="s">
        <x:v>31</x:v>
      </x:c>
      <x:c r="H75" s="38" t="s">
        <x:v>393</x:v>
      </x:c>
      <x:c r="I75" s="39" t="s">
        <x:v>394</x:v>
      </x:c>
      <x:c r="J75" s="36" t="s">
        <x:v>510</x:v>
      </x:c>
      <x:c r="K75" s="37" t="s">
        <x:v>511</x:v>
      </x:c>
      <x:c r="L75" s="36"/>
      <x:c r="M75" s="36"/>
      <x:c r="N75" s="40"/>
      <x:c r="O75" s="36" t="s">
        <x:v>113</x:v>
      </x:c>
      <x:c r="P75" s="37" t="s">
        <x:v>512</x:v>
      </x:c>
      <x:c r="Q75" s="36" t="s">
        <x:v>40</x:v>
      </x:c>
      <x:c r="R75" s="41" t="s">
        <x:v>510</x:v>
      </x:c>
      <x:c r="S75" s="37"/>
      <x:c r="T75" s="42" t="s">
        <x:v>30</x:v>
      </x:c>
      <x:c r="U75" s="43" t="s">
        <x:v>41</x:v>
      </x:c>
      <x:c r="V75" s="43" t="s">
        <x:v>117</x:v>
      </x:c>
      <x:c r="W75" s="8" t="str">
        <x:f>+VLOOKUP($A75,'TMS- NODE'!$A$6:$N$260,6,0)</x:f>
        <x:v>107.639606388278,16.5478132380597</x:v>
      </x:c>
    </x:row>
    <x:row r="76">
      <x:c r="A76" s="34" t="s">
        <x:v>513</x:v>
      </x:c>
      <x:c r="B76" s="35" t="s">
        <x:v>514</x:v>
      </x:c>
      <x:c r="C76" s="36" t="s">
        <x:v>28</x:v>
      </x:c>
      <x:c r="D76" s="36" t="s">
        <x:v>29</x:v>
      </x:c>
      <x:c r="E76" s="37" t="s">
        <x:v>30</x:v>
      </x:c>
      <x:c r="F76" s="36" t="s">
        <x:v>29</x:v>
      </x:c>
      <x:c r="G76" s="37" t="s">
        <x:v>31</x:v>
      </x:c>
      <x:c r="H76" s="38" t="s">
        <x:v>393</x:v>
      </x:c>
      <x:c r="I76" s="39" t="s">
        <x:v>394</x:v>
      </x:c>
      <x:c r="J76" s="36" t="s">
        <x:v>514</x:v>
      </x:c>
      <x:c r="K76" s="37" t="s">
        <x:v>515</x:v>
      </x:c>
      <x:c r="L76" s="36"/>
      <x:c r="M76" s="36"/>
      <x:c r="N76" s="40"/>
      <x:c r="O76" s="36" t="s">
        <x:v>113</x:v>
      </x:c>
      <x:c r="P76" s="37" t="s">
        <x:v>516</x:v>
      </x:c>
      <x:c r="Q76" s="36" t="s">
        <x:v>40</x:v>
      </x:c>
      <x:c r="R76" s="41" t="s">
        <x:v>514</x:v>
      </x:c>
      <x:c r="S76" s="37"/>
      <x:c r="T76" s="42" t="s">
        <x:v>30</x:v>
      </x:c>
      <x:c r="U76" s="43" t="s">
        <x:v>41</x:v>
      </x:c>
      <x:c r="V76" s="43" t="s">
        <x:v>117</x:v>
      </x:c>
      <x:c r="W76" s="8" t="str">
        <x:f>+VLOOKUP($A76,'TMS- NODE'!$A$6:$N$260,6,0)</x:f>
        <x:v>107.738122935662,16.4293007377797</x:v>
      </x:c>
    </x:row>
    <x:row r="77">
      <x:c r="A77" s="34" t="s">
        <x:v>517</x:v>
      </x:c>
      <x:c r="B77" s="35" t="s">
        <x:v>518</x:v>
      </x:c>
      <x:c r="C77" s="36" t="s">
        <x:v>28</x:v>
      </x:c>
      <x:c r="D77" s="36" t="s">
        <x:v>29</x:v>
      </x:c>
      <x:c r="E77" s="37" t="s">
        <x:v>30</x:v>
      </x:c>
      <x:c r="F77" s="36" t="s">
        <x:v>29</x:v>
      </x:c>
      <x:c r="G77" s="37" t="s">
        <x:v>31</x:v>
      </x:c>
      <x:c r="H77" s="38" t="s">
        <x:v>393</x:v>
      </x:c>
      <x:c r="I77" s="39" t="s">
        <x:v>394</x:v>
      </x:c>
      <x:c r="J77" s="36" t="s">
        <x:v>518</x:v>
      </x:c>
      <x:c r="K77" s="37" t="s">
        <x:v>519</x:v>
      </x:c>
      <x:c r="L77" s="36" t="s">
        <x:v>520</x:v>
      </x:c>
      <x:c r="M77" s="36" t="s">
        <x:v>521</x:v>
      </x:c>
      <x:c r="N77" s="40" t="s">
        <x:v>522</x:v>
      </x:c>
      <x:c r="O77" s="36" t="s">
        <x:v>113</x:v>
      </x:c>
      <x:c r="P77" s="37" t="s">
        <x:v>523</x:v>
      </x:c>
      <x:c r="Q77" s="36" t="s">
        <x:v>40</x:v>
      </x:c>
      <x:c r="R77" s="41" t="s">
        <x:v>524</x:v>
      </x:c>
      <x:c r="S77" s="37"/>
      <x:c r="T77" s="42" t="s">
        <x:v>30</x:v>
      </x:c>
      <x:c r="U77" s="43" t="s">
        <x:v>41</x:v>
      </x:c>
      <x:c r="V77" s="43" t="s">
        <x:v>117</x:v>
      </x:c>
      <x:c r="W77" s="8" t="str">
        <x:f>+VLOOKUP($A77,'TMS- NODE'!$A$6:$N$260,6,0)</x:f>
        <x:v>107.770195327579,16.3242048080411</x:v>
      </x:c>
    </x:row>
    <x:row r="78">
      <x:c r="A78" s="34" t="s">
        <x:v>525</x:v>
      </x:c>
      <x:c r="B78" s="35" t="s">
        <x:v>526</x:v>
      </x:c>
      <x:c r="C78" s="36" t="s">
        <x:v>28</x:v>
      </x:c>
      <x:c r="D78" s="36" t="s">
        <x:v>29</x:v>
      </x:c>
      <x:c r="E78" s="37" t="s">
        <x:v>30</x:v>
      </x:c>
      <x:c r="F78" s="36" t="s">
        <x:v>29</x:v>
      </x:c>
      <x:c r="G78" s="37" t="s">
        <x:v>31</x:v>
      </x:c>
      <x:c r="H78" s="38" t="s">
        <x:v>81</x:v>
      </x:c>
      <x:c r="I78" s="39" t="s">
        <x:v>82</x:v>
      </x:c>
      <x:c r="J78" s="36" t="s">
        <x:v>526</x:v>
      </x:c>
      <x:c r="K78" s="37" t="s">
        <x:v>527</x:v>
      </x:c>
      <x:c r="L78" s="36"/>
      <x:c r="M78" s="36"/>
      <x:c r="N78" s="40"/>
      <x:c r="O78" s="36" t="s">
        <x:v>38</x:v>
      </x:c>
      <x:c r="P78" s="37" t="s">
        <x:v>528</x:v>
      </x:c>
      <x:c r="Q78" s="36" t="s">
        <x:v>40</x:v>
      </x:c>
      <x:c r="R78" s="41" t="s">
        <x:v>529</x:v>
      </x:c>
      <x:c r="S78" s="37"/>
      <x:c r="T78" s="42" t="s">
        <x:v>30</x:v>
      </x:c>
      <x:c r="U78" s="43" t="s">
        <x:v>41</x:v>
      </x:c>
      <x:c r="V78" s="43" t="s">
        <x:v>42</x:v>
      </x:c>
      <x:c r="W78" s="8" t="str">
        <x:f>+VLOOKUP($A78,'TMS- NODE'!$A$6:$N$260,6,0)</x:f>
        <x:v>107.585764140621,16.4630087252232</x:v>
      </x:c>
    </x:row>
    <x:row r="79">
      <x:c r="A79" s="34" t="s">
        <x:v>530</x:v>
      </x:c>
      <x:c r="B79" s="35" t="s">
        <x:v>531</x:v>
      </x:c>
      <x:c r="C79" s="36" t="s">
        <x:v>28</x:v>
      </x:c>
      <x:c r="D79" s="36" t="s">
        <x:v>29</x:v>
      </x:c>
      <x:c r="E79" s="37" t="s">
        <x:v>30</x:v>
      </x:c>
      <x:c r="F79" s="36" t="s">
        <x:v>29</x:v>
      </x:c>
      <x:c r="G79" s="37" t="s">
        <x:v>31</x:v>
      </x:c>
      <x:c r="H79" s="38" t="s">
        <x:v>81</x:v>
      </x:c>
      <x:c r="I79" s="39" t="s">
        <x:v>82</x:v>
      </x:c>
      <x:c r="J79" s="36" t="s">
        <x:v>531</x:v>
      </x:c>
      <x:c r="K79" s="37" t="s">
        <x:v>532</x:v>
      </x:c>
      <x:c r="L79" s="36"/>
      <x:c r="M79" s="36"/>
      <x:c r="N79" s="40"/>
      <x:c r="O79" s="36" t="s">
        <x:v>38</x:v>
      </x:c>
      <x:c r="P79" s="37" t="s">
        <x:v>533</x:v>
      </x:c>
      <x:c r="Q79" s="36" t="s">
        <x:v>40</x:v>
      </x:c>
      <x:c r="R79" s="41" t="s">
        <x:v>534</x:v>
      </x:c>
      <x:c r="S79" s="37"/>
      <x:c r="T79" s="42" t="s">
        <x:v>30</x:v>
      </x:c>
      <x:c r="U79" s="43" t="s">
        <x:v>41</x:v>
      </x:c>
      <x:c r="V79" s="43" t="s">
        <x:v>42</x:v>
      </x:c>
      <x:c r="W79" s="8" t="str">
        <x:f>+VLOOKUP($A79,'TMS- NODE'!$A$6:$N$260,6,0)</x:f>
        <x:v>107.587095135629,16.4644707680792</x:v>
      </x:c>
    </x:row>
    <x:row r="80">
      <x:c r="A80" s="34" t="s">
        <x:v>535</x:v>
      </x:c>
      <x:c r="B80" s="35" t="s">
        <x:v>536</x:v>
      </x:c>
      <x:c r="C80" s="36" t="s">
        <x:v>28</x:v>
      </x:c>
      <x:c r="D80" s="36" t="s">
        <x:v>29</x:v>
      </x:c>
      <x:c r="E80" s="37" t="s">
        <x:v>30</x:v>
      </x:c>
      <x:c r="F80" s="36" t="s">
        <x:v>29</x:v>
      </x:c>
      <x:c r="G80" s="37" t="s">
        <x:v>31</x:v>
      </x:c>
      <x:c r="H80" s="38" t="s">
        <x:v>81</x:v>
      </x:c>
      <x:c r="I80" s="39" t="s">
        <x:v>82</x:v>
      </x:c>
      <x:c r="J80" s="36" t="s">
        <x:v>536</x:v>
      </x:c>
      <x:c r="K80" s="37" t="s">
        <x:v>537</x:v>
      </x:c>
      <x:c r="L80" s="36"/>
      <x:c r="M80" s="36"/>
      <x:c r="N80" s="40"/>
      <x:c r="O80" s="36" t="s">
        <x:v>38</x:v>
      </x:c>
      <x:c r="P80" s="37" t="s">
        <x:v>538</x:v>
      </x:c>
      <x:c r="Q80" s="36" t="s">
        <x:v>40</x:v>
      </x:c>
      <x:c r="R80" s="41" t="s">
        <x:v>539</x:v>
      </x:c>
      <x:c r="S80" s="37"/>
      <x:c r="T80" s="42" t="s">
        <x:v>30</x:v>
      </x:c>
      <x:c r="U80" s="43" t="s">
        <x:v>41</x:v>
      </x:c>
      <x:c r="V80" s="43" t="s">
        <x:v>42</x:v>
      </x:c>
      <x:c r="W80" s="8" t="str">
        <x:f>+VLOOKUP($A80,'TMS- NODE'!$A$6:$N$260,6,0)</x:f>
        <x:v>107.592804019957,16.4655148306271</x:v>
      </x:c>
    </x:row>
    <x:row r="81">
      <x:c r="A81" s="34" t="s">
        <x:v>540</x:v>
      </x:c>
      <x:c r="B81" s="35" t="s">
        <x:v>541</x:v>
      </x:c>
      <x:c r="C81" s="36" t="s">
        <x:v>28</x:v>
      </x:c>
      <x:c r="D81" s="36" t="s">
        <x:v>29</x:v>
      </x:c>
      <x:c r="E81" s="37" t="s">
        <x:v>30</x:v>
      </x:c>
      <x:c r="F81" s="36" t="s">
        <x:v>29</x:v>
      </x:c>
      <x:c r="G81" s="37" t="s">
        <x:v>31</x:v>
      </x:c>
      <x:c r="H81" s="38" t="s">
        <x:v>81</x:v>
      </x:c>
      <x:c r="I81" s="39" t="s">
        <x:v>82</x:v>
      </x:c>
      <x:c r="J81" s="36" t="s">
        <x:v>541</x:v>
      </x:c>
      <x:c r="K81" s="37" t="s">
        <x:v>542</x:v>
      </x:c>
      <x:c r="L81" s="36"/>
      <x:c r="M81" s="36"/>
      <x:c r="N81" s="40"/>
      <x:c r="O81" s="36" t="s">
        <x:v>38</x:v>
      </x:c>
      <x:c r="P81" s="37" t="s">
        <x:v>543</x:v>
      </x:c>
      <x:c r="Q81" s="36" t="s">
        <x:v>40</x:v>
      </x:c>
      <x:c r="R81" s="41" t="s">
        <x:v>544</x:v>
      </x:c>
      <x:c r="S81" s="37"/>
      <x:c r="T81" s="42" t="s">
        <x:v>30</x:v>
      </x:c>
      <x:c r="U81" s="43" t="s">
        <x:v>41</x:v>
      </x:c>
      <x:c r="V81" s="43" t="s">
        <x:v>42</x:v>
      </x:c>
      <x:c r="W81" s="8" t="str">
        <x:f>+VLOOKUP($A81,'TMS- NODE'!$A$6:$N$260,6,0)</x:f>
        <x:v>107.589771555383,16.4662322441518</x:v>
      </x:c>
    </x:row>
    <x:row r="82">
      <x:c r="A82" s="34" t="s">
        <x:v>545</x:v>
      </x:c>
      <x:c r="B82" s="35" t="s">
        <x:v>546</x:v>
      </x:c>
      <x:c r="C82" s="36" t="s">
        <x:v>28</x:v>
      </x:c>
      <x:c r="D82" s="36" t="s">
        <x:v>29</x:v>
      </x:c>
      <x:c r="E82" s="37" t="s">
        <x:v>30</x:v>
      </x:c>
      <x:c r="F82" s="36" t="s">
        <x:v>29</x:v>
      </x:c>
      <x:c r="G82" s="37" t="s">
        <x:v>31</x:v>
      </x:c>
      <x:c r="H82" s="38" t="s">
        <x:v>81</x:v>
      </x:c>
      <x:c r="I82" s="39" t="s">
        <x:v>82</x:v>
      </x:c>
      <x:c r="J82" s="36" t="s">
        <x:v>546</x:v>
      </x:c>
      <x:c r="K82" s="37" t="s">
        <x:v>434</x:v>
      </x:c>
      <x:c r="L82" s="36"/>
      <x:c r="M82" s="36"/>
      <x:c r="N82" s="40"/>
      <x:c r="O82" s="36" t="s">
        <x:v>38</x:v>
      </x:c>
      <x:c r="P82" s="37" t="s">
        <x:v>547</x:v>
      </x:c>
      <x:c r="Q82" s="36" t="s">
        <x:v>40</x:v>
      </x:c>
      <x:c r="R82" s="41" t="s">
        <x:v>546</x:v>
      </x:c>
      <x:c r="S82" s="37"/>
      <x:c r="T82" s="42" t="s">
        <x:v>30</x:v>
      </x:c>
      <x:c r="U82" s="43" t="s">
        <x:v>41</x:v>
      </x:c>
      <x:c r="V82" s="43" t="s">
        <x:v>42</x:v>
      </x:c>
      <x:c r="W82" s="8" t="str">
        <x:f>+VLOOKUP($A82,'TMS- NODE'!$A$6:$N$260,6,0)</x:f>
        <x:v>107.581871614873,16.4926706950063</x:v>
      </x:c>
    </x:row>
    <x:row r="83">
      <x:c r="A83" s="34" t="s">
        <x:v>548</x:v>
      </x:c>
      <x:c r="B83" s="35" t="s">
        <x:v>549</x:v>
      </x:c>
      <x:c r="C83" s="36" t="s">
        <x:v>28</x:v>
      </x:c>
      <x:c r="D83" s="36" t="s">
        <x:v>29</x:v>
      </x:c>
      <x:c r="E83" s="37" t="s">
        <x:v>30</x:v>
      </x:c>
      <x:c r="F83" s="36" t="s">
        <x:v>29</x:v>
      </x:c>
      <x:c r="G83" s="37" t="s">
        <x:v>31</x:v>
      </x:c>
      <x:c r="H83" s="38" t="s">
        <x:v>550</x:v>
      </x:c>
      <x:c r="I83" s="39" t="s">
        <x:v>551</x:v>
      </x:c>
      <x:c r="J83" s="36" t="s">
        <x:v>549</x:v>
      </x:c>
      <x:c r="K83" s="37" t="s">
        <x:v>552</x:v>
      </x:c>
      <x:c r="L83" s="36"/>
      <x:c r="M83" s="36"/>
      <x:c r="N83" s="40"/>
      <x:c r="O83" s="36" t="s">
        <x:v>38</x:v>
      </x:c>
      <x:c r="P83" s="37" t="s">
        <x:v>553</x:v>
      </x:c>
      <x:c r="Q83" s="36" t="s">
        <x:v>40</x:v>
      </x:c>
      <x:c r="R83" s="41" t="s">
        <x:v>549</x:v>
      </x:c>
      <x:c r="S83" s="37"/>
      <x:c r="T83" s="42" t="s">
        <x:v>30</x:v>
      </x:c>
      <x:c r="U83" s="43" t="s">
        <x:v>41</x:v>
      </x:c>
      <x:c r="V83" s="43" t="s">
        <x:v>42</x:v>
      </x:c>
      <x:c r="W83" s="8" t="str">
        <x:f>+VLOOKUP($A83,'TMS- NODE'!$A$6:$N$260,6,0)</x:f>
        <x:v>107.570514921276,16.3875076862482</x:v>
      </x:c>
    </x:row>
    <x:row r="84">
      <x:c r="A84" s="34" t="s">
        <x:v>554</x:v>
      </x:c>
      <x:c r="B84" s="35" t="s">
        <x:v>555</x:v>
      </x:c>
      <x:c r="C84" s="36" t="s">
        <x:v>28</x:v>
      </x:c>
      <x:c r="D84" s="36" t="s">
        <x:v>29</x:v>
      </x:c>
      <x:c r="E84" s="37" t="s">
        <x:v>30</x:v>
      </x:c>
      <x:c r="F84" s="36" t="s">
        <x:v>29</x:v>
      </x:c>
      <x:c r="G84" s="37" t="s">
        <x:v>31</x:v>
      </x:c>
      <x:c r="H84" s="38" t="s">
        <x:v>556</x:v>
      </x:c>
      <x:c r="I84" s="39" t="s">
        <x:v>557</x:v>
      </x:c>
      <x:c r="J84" s="36" t="s">
        <x:v>555</x:v>
      </x:c>
      <x:c r="K84" s="37" t="s">
        <x:v>558</x:v>
      </x:c>
      <x:c r="L84" s="36"/>
      <x:c r="M84" s="36"/>
      <x:c r="N84" s="40"/>
      <x:c r="O84" s="36" t="s">
        <x:v>38</x:v>
      </x:c>
      <x:c r="P84" s="37" t="s">
        <x:v>559</x:v>
      </x:c>
      <x:c r="Q84" s="36" t="s">
        <x:v>40</x:v>
      </x:c>
      <x:c r="R84" s="41" t="s">
        <x:v>555</x:v>
      </x:c>
      <x:c r="S84" s="37"/>
      <x:c r="T84" s="42" t="s">
        <x:v>30</x:v>
      </x:c>
      <x:c r="U84" s="43" t="s">
        <x:v>41</x:v>
      </x:c>
      <x:c r="V84" s="43" t="s">
        <x:v>42</x:v>
      </x:c>
      <x:c r="W84" s="8" t="str">
        <x:f>+VLOOKUP($A84,'TMS- NODE'!$A$6:$N$260,6,0)</x:f>
        <x:v>107.233943936583,16.2700731488837</x:v>
      </x:c>
    </x:row>
    <x:row r="85">
      <x:c r="A85" s="34" t="s">
        <x:v>560</x:v>
      </x:c>
      <x:c r="B85" s="35" t="s">
        <x:v>561</x:v>
      </x:c>
      <x:c r="C85" s="36" t="s">
        <x:v>28</x:v>
      </x:c>
      <x:c r="D85" s="36" t="s">
        <x:v>29</x:v>
      </x:c>
      <x:c r="E85" s="37" t="s">
        <x:v>30</x:v>
      </x:c>
      <x:c r="F85" s="36" t="s">
        <x:v>29</x:v>
      </x:c>
      <x:c r="G85" s="37" t="s">
        <x:v>31</x:v>
      </x:c>
      <x:c r="H85" s="38" t="s">
        <x:v>556</x:v>
      </x:c>
      <x:c r="I85" s="39" t="s">
        <x:v>557</x:v>
      </x:c>
      <x:c r="J85" s="36" t="s">
        <x:v>561</x:v>
      </x:c>
      <x:c r="K85" s="37" t="s">
        <x:v>562</x:v>
      </x:c>
      <x:c r="L85" s="36"/>
      <x:c r="M85" s="36"/>
      <x:c r="N85" s="40"/>
      <x:c r="O85" s="36" t="s">
        <x:v>38</x:v>
      </x:c>
      <x:c r="P85" s="37" t="s">
        <x:v>563</x:v>
      </x:c>
      <x:c r="Q85" s="36" t="s">
        <x:v>40</x:v>
      </x:c>
      <x:c r="R85" s="41" t="s">
        <x:v>561</x:v>
      </x:c>
      <x:c r="S85" s="37"/>
      <x:c r="T85" s="42" t="s">
        <x:v>30</x:v>
      </x:c>
      <x:c r="U85" s="43" t="s">
        <x:v>41</x:v>
      </x:c>
      <x:c r="V85" s="43" t="s">
        <x:v>42</x:v>
      </x:c>
      <x:c r="W85" s="8" t="str">
        <x:f>+VLOOKUP($A85,'TMS- NODE'!$A$6:$N$260,6,0)</x:f>
        <x:v>107.313664502104,16.1729140256758</x:v>
      </x:c>
    </x:row>
    <x:row r="86">
      <x:c r="A86" s="34" t="s">
        <x:v>564</x:v>
      </x:c>
      <x:c r="B86" s="35" t="s">
        <x:v>565</x:v>
      </x:c>
      <x:c r="C86" s="36" t="s">
        <x:v>28</x:v>
      </x:c>
      <x:c r="D86" s="36" t="s">
        <x:v>29</x:v>
      </x:c>
      <x:c r="E86" s="37" t="s">
        <x:v>30</x:v>
      </x:c>
      <x:c r="F86" s="36" t="s">
        <x:v>29</x:v>
      </x:c>
      <x:c r="G86" s="37" t="s">
        <x:v>31</x:v>
      </x:c>
      <x:c r="H86" s="38" t="s">
        <x:v>566</x:v>
      </x:c>
      <x:c r="I86" s="39" t="s">
        <x:v>567</x:v>
      </x:c>
      <x:c r="J86" s="36" t="s">
        <x:v>565</x:v>
      </x:c>
      <x:c r="K86" s="37" t="s">
        <x:v>568</x:v>
      </x:c>
      <x:c r="L86" s="36" t="s">
        <x:v>48</x:v>
      </x:c>
      <x:c r="M86" s="36" t="s">
        <x:v>49</x:v>
      </x:c>
      <x:c r="N86" s="40" t="s">
        <x:v>50</x:v>
      </x:c>
      <x:c r="O86" s="36" t="s">
        <x:v>38</x:v>
      </x:c>
      <x:c r="P86" s="37" t="s">
        <x:v>569</x:v>
      </x:c>
      <x:c r="Q86" s="36" t="s">
        <x:v>40</x:v>
      </x:c>
      <x:c r="R86" s="41" t="s">
        <x:v>565</x:v>
      </x:c>
      <x:c r="S86" s="37"/>
      <x:c r="T86" s="42" t="s">
        <x:v>30</x:v>
      </x:c>
      <x:c r="U86" s="43" t="s">
        <x:v>41</x:v>
      </x:c>
      <x:c r="V86" s="43" t="s">
        <x:v>42</x:v>
      </x:c>
      <x:c r="W86" s="8" t="str">
        <x:f>+VLOOKUP($A86,'TMS- NODE'!$A$6:$N$260,6,0)</x:f>
        <x:v>107.700091969722,16.3975601862286</x:v>
      </x:c>
    </x:row>
    <x:row r="87">
      <x:c r="A87" s="34" t="s">
        <x:v>570</x:v>
      </x:c>
      <x:c r="B87" s="35" t="s">
        <x:v>571</x:v>
      </x:c>
      <x:c r="C87" s="36" t="s">
        <x:v>28</x:v>
      </x:c>
      <x:c r="D87" s="36" t="s">
        <x:v>29</x:v>
      </x:c>
      <x:c r="E87" s="37" t="s">
        <x:v>30</x:v>
      </x:c>
      <x:c r="F87" s="36" t="s">
        <x:v>29</x:v>
      </x:c>
      <x:c r="G87" s="37" t="s">
        <x:v>31</x:v>
      </x:c>
      <x:c r="H87" s="38" t="s">
        <x:v>566</x:v>
      </x:c>
      <x:c r="I87" s="39" t="s">
        <x:v>567</x:v>
      </x:c>
      <x:c r="J87" s="36" t="s">
        <x:v>571</x:v>
      </x:c>
      <x:c r="K87" s="37" t="s">
        <x:v>572</x:v>
      </x:c>
      <x:c r="L87" s="36"/>
      <x:c r="M87" s="36"/>
      <x:c r="N87" s="40"/>
      <x:c r="O87" s="36" t="s">
        <x:v>38</x:v>
      </x:c>
      <x:c r="P87" s="37" t="s">
        <x:v>573</x:v>
      </x:c>
      <x:c r="Q87" s="36" t="s">
        <x:v>40</x:v>
      </x:c>
      <x:c r="R87" s="41" t="s">
        <x:v>571</x:v>
      </x:c>
      <x:c r="S87" s="37"/>
      <x:c r="T87" s="42" t="s">
        <x:v>30</x:v>
      </x:c>
      <x:c r="U87" s="43" t="s">
        <x:v>41</x:v>
      </x:c>
      <x:c r="V87" s="43" t="s">
        <x:v>42</x:v>
      </x:c>
      <x:c r="W87" s="8" t="str">
        <x:f>+VLOOKUP($A87,'TMS- NODE'!$A$6:$N$260,6,0)</x:f>
        <x:v>107.636533067089,16.4315836039942</x:v>
      </x:c>
    </x:row>
    <x:row r="88">
      <x:c r="A88" s="34" t="s">
        <x:v>574</x:v>
      </x:c>
      <x:c r="B88" s="35" t="s">
        <x:v>575</x:v>
      </x:c>
      <x:c r="C88" s="36" t="s">
        <x:v>28</x:v>
      </x:c>
      <x:c r="D88" s="36" t="s">
        <x:v>29</x:v>
      </x:c>
      <x:c r="E88" s="37" t="s">
        <x:v>30</x:v>
      </x:c>
      <x:c r="F88" s="36" t="s">
        <x:v>29</x:v>
      </x:c>
      <x:c r="G88" s="37" t="s">
        <x:v>31</x:v>
      </x:c>
      <x:c r="H88" s="38" t="s">
        <x:v>576</x:v>
      </x:c>
      <x:c r="I88" s="39" t="s">
        <x:v>577</x:v>
      </x:c>
      <x:c r="J88" s="36" t="s">
        <x:v>575</x:v>
      </x:c>
      <x:c r="K88" s="37" t="s">
        <x:v>66</x:v>
      </x:c>
      <x:c r="L88" s="36"/>
      <x:c r="M88" s="36"/>
      <x:c r="N88" s="40"/>
      <x:c r="O88" s="36" t="s">
        <x:v>38</x:v>
      </x:c>
      <x:c r="P88" s="37" t="s">
        <x:v>578</x:v>
      </x:c>
      <x:c r="Q88" s="36" t="s">
        <x:v>40</x:v>
      </x:c>
      <x:c r="R88" s="41" t="s">
        <x:v>575</x:v>
      </x:c>
      <x:c r="S88" s="37"/>
      <x:c r="T88" s="42" t="s">
        <x:v>30</x:v>
      </x:c>
      <x:c r="U88" s="43" t="s">
        <x:v>41</x:v>
      </x:c>
      <x:c r="V88" s="43" t="s">
        <x:v>42</x:v>
      </x:c>
      <x:c r="W88" s="8" t="str">
        <x:f>+VLOOKUP($A88,'TMS- NODE'!$A$6:$N$260,6,0)</x:f>
        <x:v>107.681777810209,16.4806373210436</x:v>
      </x:c>
    </x:row>
    <x:row r="89">
      <x:c r="A89" s="34" t="s">
        <x:v>579</x:v>
      </x:c>
      <x:c r="B89" s="35" t="s">
        <x:v>580</x:v>
      </x:c>
      <x:c r="C89" s="36" t="s">
        <x:v>28</x:v>
      </x:c>
      <x:c r="D89" s="36" t="s">
        <x:v>29</x:v>
      </x:c>
      <x:c r="E89" s="37" t="s">
        <x:v>30</x:v>
      </x:c>
      <x:c r="F89" s="36" t="s">
        <x:v>29</x:v>
      </x:c>
      <x:c r="G89" s="37" t="s">
        <x:v>31</x:v>
      </x:c>
      <x:c r="H89" s="38" t="s">
        <x:v>581</x:v>
      </x:c>
      <x:c r="I89" s="39" t="s">
        <x:v>582</x:v>
      </x:c>
      <x:c r="J89" s="36" t="s">
        <x:v>580</x:v>
      </x:c>
      <x:c r="K89" s="37" t="s">
        <x:v>583</x:v>
      </x:c>
      <x:c r="L89" s="36"/>
      <x:c r="M89" s="36"/>
      <x:c r="N89" s="40"/>
      <x:c r="O89" s="36" t="s">
        <x:v>38</x:v>
      </x:c>
      <x:c r="P89" s="37" t="s">
        <x:v>584</x:v>
      </x:c>
      <x:c r="Q89" s="36" t="s">
        <x:v>40</x:v>
      </x:c>
      <x:c r="R89" s="41" t="s">
        <x:v>580</x:v>
      </x:c>
      <x:c r="S89" s="37"/>
      <x:c r="T89" s="42" t="s">
        <x:v>30</x:v>
      </x:c>
      <x:c r="U89" s="43" t="s">
        <x:v>41</x:v>
      </x:c>
      <x:c r="V89" s="43" t="s">
        <x:v>42</x:v>
      </x:c>
      <x:c r="W89" s="8" t="str">
        <x:f>+VLOOKUP($A89,'TMS- NODE'!$A$6:$N$260,6,0)</x:f>
        <x:v>108.011128390931,16.2762155020512</x:v>
      </x:c>
    </x:row>
    <x:row r="90">
      <x:c r="A90" s="34" t="s">
        <x:v>585</x:v>
      </x:c>
      <x:c r="B90" s="44" t="s">
        <x:v>586</x:v>
      </x:c>
      <x:c r="C90" s="45" t="s">
        <x:v>28</x:v>
      </x:c>
      <x:c r="D90" s="45" t="s">
        <x:v>29</x:v>
      </x:c>
      <x:c r="E90" s="46" t="s">
        <x:v>30</x:v>
      </x:c>
      <x:c r="F90" s="45" t="s">
        <x:v>29</x:v>
      </x:c>
      <x:c r="G90" s="46" t="s">
        <x:v>31</x:v>
      </x:c>
      <x:c r="H90" s="47" t="s">
        <x:v>384</x:v>
      </x:c>
      <x:c r="I90" s="48" t="s">
        <x:v>385</x:v>
      </x:c>
      <x:c r="J90" s="45" t="s">
        <x:v>586</x:v>
      </x:c>
      <x:c r="K90" s="46" t="s">
        <x:v>587</x:v>
      </x:c>
      <x:c r="L90" s="45" t="s">
        <x:v>48</x:v>
      </x:c>
      <x:c r="M90" s="45" t="s">
        <x:v>49</x:v>
      </x:c>
      <x:c r="N90" s="49" t="s">
        <x:v>50</x:v>
      </x:c>
      <x:c r="O90" s="45" t="s">
        <x:v>588</x:v>
      </x:c>
      <x:c r="P90" s="46" t="s">
        <x:v>388</x:v>
      </x:c>
      <x:c r="Q90" s="45" t="s">
        <x:v>115</x:v>
      </x:c>
      <x:c r="R90" s="50" t="s">
        <x:v>389</x:v>
      </x:c>
      <x:c r="S90" s="46"/>
      <x:c r="T90" s="42" t="s">
        <x:v>30</x:v>
      </x:c>
      <x:c r="U90" s="43" t="s">
        <x:v>41</x:v>
      </x:c>
      <x:c r="V90" s="43" t="s">
        <x:v>589</x:v>
      </x:c>
      <x:c r="W90" s="8" t="str">
        <x:f>+VLOOKUP($A90,'TMS- NODE'!$A$6:$N$260,6,0)</x:f>
        <x:v>107.688858973105,16.3837080161244</x:v>
      </x:c>
    </x:row>
    <x:row r="91">
      <x:c r="A91" s="34" t="s">
        <x:v>590</x:v>
      </x:c>
      <x:c r="B91" s="35" t="s">
        <x:v>591</x:v>
      </x:c>
      <x:c r="C91" s="36" t="s">
        <x:v>28</x:v>
      </x:c>
      <x:c r="D91" s="36" t="s">
        <x:v>29</x:v>
      </x:c>
      <x:c r="E91" s="37" t="s">
        <x:v>30</x:v>
      </x:c>
      <x:c r="F91" s="36" t="s">
        <x:v>29</x:v>
      </x:c>
      <x:c r="G91" s="37" t="s">
        <x:v>31</x:v>
      </x:c>
      <x:c r="H91" s="38" t="s">
        <x:v>194</x:v>
      </x:c>
      <x:c r="I91" s="39" t="s">
        <x:v>195</x:v>
      </x:c>
      <x:c r="J91" s="36" t="s">
        <x:v>591</x:v>
      </x:c>
      <x:c r="K91" s="37" t="s">
        <x:v>592</x:v>
      </x:c>
      <x:c r="L91" s="36" t="s">
        <x:v>110</x:v>
      </x:c>
      <x:c r="M91" s="36" t="s">
        <x:v>111</x:v>
      </x:c>
      <x:c r="N91" s="40" t="s">
        <x:v>112</x:v>
      </x:c>
      <x:c r="O91" s="36" t="s">
        <x:v>588</x:v>
      </x:c>
      <x:c r="P91" s="37" t="s">
        <x:v>114</x:v>
      </x:c>
      <x:c r="Q91" s="36" t="s">
        <x:v>40</x:v>
      </x:c>
      <x:c r="R91" s="41" t="s">
        <x:v>198</x:v>
      </x:c>
      <x:c r="S91" s="37"/>
      <x:c r="T91" s="42" t="s">
        <x:v>30</x:v>
      </x:c>
      <x:c r="U91" s="43" t="s">
        <x:v>41</x:v>
      </x:c>
      <x:c r="V91" s="43" t="s">
        <x:v>589</x:v>
      </x:c>
      <x:c r="W91" s="8" t="str">
        <x:f>+VLOOKUP($A91,'TMS- NODE'!$A$6:$N$260,6,0)</x:f>
        <x:v>107.590369869917,16.4648867039695</x:v>
      </x:c>
    </x:row>
    <x:row r="92">
      <x:c r="A92" s="34" t="s">
        <x:v>593</x:v>
      </x:c>
      <x:c r="B92" s="35" t="s">
        <x:v>594</x:v>
      </x:c>
      <x:c r="C92" s="36" t="s">
        <x:v>28</x:v>
      </x:c>
      <x:c r="D92" s="36" t="s">
        <x:v>29</x:v>
      </x:c>
      <x:c r="E92" s="37" t="s">
        <x:v>30</x:v>
      </x:c>
      <x:c r="F92" s="36" t="s">
        <x:v>29</x:v>
      </x:c>
      <x:c r="G92" s="37" t="s">
        <x:v>31</x:v>
      </x:c>
      <x:c r="H92" s="38" t="s">
        <x:v>481</x:v>
      </x:c>
      <x:c r="I92" s="39" t="s">
        <x:v>482</x:v>
      </x:c>
      <x:c r="J92" s="36" t="s">
        <x:v>594</x:v>
      </x:c>
      <x:c r="K92" s="37" t="s">
        <x:v>595</x:v>
      </x:c>
      <x:c r="L92" s="36" t="s">
        <x:v>123</x:v>
      </x:c>
      <x:c r="M92" s="36" t="s">
        <x:v>124</x:v>
      </x:c>
      <x:c r="N92" s="40" t="s">
        <x:v>125</x:v>
      </x:c>
      <x:c r="O92" s="36" t="s">
        <x:v>588</x:v>
      </x:c>
      <x:c r="P92" s="37" t="s">
        <x:v>596</x:v>
      </x:c>
      <x:c r="Q92" s="36" t="s">
        <x:v>40</x:v>
      </x:c>
      <x:c r="R92" s="41" t="s">
        <x:v>597</x:v>
      </x:c>
      <x:c r="S92" s="37"/>
      <x:c r="T92" s="42" t="s">
        <x:v>30</x:v>
      </x:c>
      <x:c r="U92" s="43" t="s">
        <x:v>41</x:v>
      </x:c>
      <x:c r="V92" s="43" t="s">
        <x:v>589</x:v>
      </x:c>
      <x:c r="W92" s="8" t="str">
        <x:f>+VLOOKUP($A92,'TMS- NODE'!$A$6:$N$260,6,0)</x:f>
        <x:v>107.511480822864,16.5746300293337</x:v>
      </x:c>
    </x:row>
    <x:row r="93">
      <x:c r="A93" s="34" t="s">
        <x:v>598</x:v>
      </x:c>
      <x:c r="B93" s="35" t="s">
        <x:v>599</x:v>
      </x:c>
      <x:c r="C93" s="36" t="s">
        <x:v>28</x:v>
      </x:c>
      <x:c r="D93" s="36" t="s">
        <x:v>29</x:v>
      </x:c>
      <x:c r="E93" s="37" t="s">
        <x:v>30</x:v>
      </x:c>
      <x:c r="F93" s="36" t="s">
        <x:v>29</x:v>
      </x:c>
      <x:c r="G93" s="37" t="s">
        <x:v>31</x:v>
      </x:c>
      <x:c r="H93" s="38" t="s">
        <x:v>481</x:v>
      </x:c>
      <x:c r="I93" s="39" t="s">
        <x:v>482</x:v>
      </x:c>
      <x:c r="J93" s="36" t="s">
        <x:v>599</x:v>
      </x:c>
      <x:c r="K93" s="37" t="s">
        <x:v>600</x:v>
      </x:c>
      <x:c r="L93" s="36" t="s">
        <x:v>131</x:v>
      </x:c>
      <x:c r="M93" s="36" t="s">
        <x:v>132</x:v>
      </x:c>
      <x:c r="N93" s="40" t="s">
        <x:v>133</x:v>
      </x:c>
      <x:c r="O93" s="36" t="s">
        <x:v>588</x:v>
      </x:c>
      <x:c r="P93" s="37" t="s">
        <x:v>134</x:v>
      </x:c>
      <x:c r="Q93" s="36" t="s">
        <x:v>40</x:v>
      </x:c>
      <x:c r="R93" s="41" t="s">
        <x:v>601</x:v>
      </x:c>
      <x:c r="S93" s="37"/>
      <x:c r="T93" s="42" t="s">
        <x:v>30</x:v>
      </x:c>
      <x:c r="U93" s="43" t="s">
        <x:v>41</x:v>
      </x:c>
      <x:c r="V93" s="43" t="s">
        <x:v>589</x:v>
      </x:c>
      <x:c r="W93" s="8" t="str">
        <x:f>+VLOOKUP($A93,'TMS- NODE'!$A$6:$N$260,6,0)</x:f>
        <x:v>107.364443316674,16.5821419703036</x:v>
      </x:c>
    </x:row>
    <x:row r="94">
      <x:c r="A94" s="34" t="s">
        <x:v>602</x:v>
      </x:c>
      <x:c r="B94" s="35" t="s">
        <x:v>603</x:v>
      </x:c>
      <x:c r="C94" s="36" t="s">
        <x:v>28</x:v>
      </x:c>
      <x:c r="D94" s="36" t="s">
        <x:v>29</x:v>
      </x:c>
      <x:c r="E94" s="37" t="s">
        <x:v>30</x:v>
      </x:c>
      <x:c r="F94" s="36" t="s">
        <x:v>29</x:v>
      </x:c>
      <x:c r="G94" s="37" t="s">
        <x:v>31</x:v>
      </x:c>
      <x:c r="H94" s="38" t="s">
        <x:v>481</x:v>
      </x:c>
      <x:c r="I94" s="39" t="s">
        <x:v>482</x:v>
      </x:c>
      <x:c r="J94" s="36" t="s">
        <x:v>603</x:v>
      </x:c>
      <x:c r="K94" s="37" t="s">
        <x:v>604</x:v>
      </x:c>
      <x:c r="L94" s="36" t="s">
        <x:v>141</x:v>
      </x:c>
      <x:c r="M94" s="36" t="s">
        <x:v>142</x:v>
      </x:c>
      <x:c r="N94" s="40" t="s">
        <x:v>143</x:v>
      </x:c>
      <x:c r="O94" s="36" t="s">
        <x:v>588</x:v>
      </x:c>
      <x:c r="P94" s="37" t="s">
        <x:v>144</x:v>
      </x:c>
      <x:c r="Q94" s="36" t="s">
        <x:v>40</x:v>
      </x:c>
      <x:c r="R94" s="41" t="s">
        <x:v>605</x:v>
      </x:c>
      <x:c r="S94" s="37"/>
      <x:c r="T94" s="42" t="s">
        <x:v>30</x:v>
      </x:c>
      <x:c r="U94" s="43" t="s">
        <x:v>41</x:v>
      </x:c>
      <x:c r="V94" s="43" t="s">
        <x:v>589</x:v>
      </x:c>
      <x:c r="W94" s="8" t="str">
        <x:f>+VLOOKUP($A94,'TMS- NODE'!$A$6:$N$260,6,0)</x:f>
        <x:v>107.475963593275,16.5249405471956</x:v>
      </x:c>
    </x:row>
    <x:row r="95">
      <x:c r="A95" s="34" t="s">
        <x:v>606</x:v>
      </x:c>
      <x:c r="B95" s="35" t="s">
        <x:v>607</x:v>
      </x:c>
      <x:c r="C95" s="36" t="s">
        <x:v>28</x:v>
      </x:c>
      <x:c r="D95" s="36" t="s">
        <x:v>29</x:v>
      </x:c>
      <x:c r="E95" s="37" t="s">
        <x:v>30</x:v>
      </x:c>
      <x:c r="F95" s="36" t="s">
        <x:v>29</x:v>
      </x:c>
      <x:c r="G95" s="37" t="s">
        <x:v>31</x:v>
      </x:c>
      <x:c r="H95" s="38" t="s">
        <x:v>608</x:v>
      </x:c>
      <x:c r="I95" s="39" t="s">
        <x:v>609</x:v>
      </x:c>
      <x:c r="J95" s="36" t="s">
        <x:v>607</x:v>
      </x:c>
      <x:c r="K95" s="37" t="s">
        <x:v>610</x:v>
      </x:c>
      <x:c r="L95" s="36" t="s">
        <x:v>151</x:v>
      </x:c>
      <x:c r="M95" s="36" t="s">
        <x:v>152</x:v>
      </x:c>
      <x:c r="N95" s="40" t="s">
        <x:v>153</x:v>
      </x:c>
      <x:c r="O95" s="36" t="s">
        <x:v>588</x:v>
      </x:c>
      <x:c r="P95" s="37" t="s">
        <x:v>154</x:v>
      </x:c>
      <x:c r="Q95" s="36" t="s">
        <x:v>40</x:v>
      </x:c>
      <x:c r="R95" s="41" t="s">
        <x:v>611</x:v>
      </x:c>
      <x:c r="S95" s="37"/>
      <x:c r="T95" s="42" t="s">
        <x:v>30</x:v>
      </x:c>
      <x:c r="U95" s="43" t="s">
        <x:v>41</x:v>
      </x:c>
      <x:c r="V95" s="43" t="s">
        <x:v>589</x:v>
      </x:c>
      <x:c r="W95" s="8" t="str">
        <x:f>+VLOOKUP($A95,'TMS- NODE'!$A$6:$N$260,6,0)</x:f>
        <x:v>107.231889912162,16.2736382189923</x:v>
      </x:c>
    </x:row>
    <x:row r="96">
      <x:c r="A96" s="34" t="s">
        <x:v>612</x:v>
      </x:c>
      <x:c r="B96" s="35" t="s">
        <x:v>613</x:v>
      </x:c>
      <x:c r="C96" s="36" t="s">
        <x:v>28</x:v>
      </x:c>
      <x:c r="D96" s="36" t="s">
        <x:v>29</x:v>
      </x:c>
      <x:c r="E96" s="37" t="s">
        <x:v>30</x:v>
      </x:c>
      <x:c r="F96" s="36" t="s">
        <x:v>29</x:v>
      </x:c>
      <x:c r="G96" s="37" t="s">
        <x:v>31</x:v>
      </x:c>
      <x:c r="H96" s="38" t="s">
        <x:v>503</x:v>
      </x:c>
      <x:c r="I96" s="39" t="s">
        <x:v>504</x:v>
      </x:c>
      <x:c r="J96" s="36" t="s">
        <x:v>613</x:v>
      </x:c>
      <x:c r="K96" s="37" t="s">
        <x:v>614</x:v>
      </x:c>
      <x:c r="L96" s="36" t="s">
        <x:v>48</x:v>
      </x:c>
      <x:c r="M96" s="36" t="s">
        <x:v>49</x:v>
      </x:c>
      <x:c r="N96" s="40" t="s">
        <x:v>50</x:v>
      </x:c>
      <x:c r="O96" s="36" t="s">
        <x:v>588</x:v>
      </x:c>
      <x:c r="P96" s="37" t="s">
        <x:v>615</x:v>
      </x:c>
      <x:c r="Q96" s="36" t="s">
        <x:v>40</x:v>
      </x:c>
      <x:c r="R96" s="41" t="s">
        <x:v>616</x:v>
      </x:c>
      <x:c r="S96" s="37"/>
      <x:c r="T96" s="42" t="s">
        <x:v>30</x:v>
      </x:c>
      <x:c r="U96" s="43" t="s">
        <x:v>41</x:v>
      </x:c>
      <x:c r="V96" s="43" t="s">
        <x:v>589</x:v>
      </x:c>
      <x:c r="W96" s="8" t="str">
        <x:f>+VLOOKUP($A96,'TMS- NODE'!$A$6:$N$260,6,0)</x:f>
        <x:v>107.67358099555,16.4117269209322</x:v>
      </x:c>
    </x:row>
    <x:row r="97">
      <x:c r="A97" s="34" t="s">
        <x:v>617</x:v>
      </x:c>
      <x:c r="B97" s="35" t="s">
        <x:v>618</x:v>
      </x:c>
      <x:c r="C97" s="36" t="s">
        <x:v>28</x:v>
      </x:c>
      <x:c r="D97" s="36" t="s">
        <x:v>29</x:v>
      </x:c>
      <x:c r="E97" s="37" t="s">
        <x:v>30</x:v>
      </x:c>
      <x:c r="F97" s="36" t="s">
        <x:v>29</x:v>
      </x:c>
      <x:c r="G97" s="37" t="s">
        <x:v>31</x:v>
      </x:c>
      <x:c r="H97" s="38" t="s">
        <x:v>581</x:v>
      </x:c>
      <x:c r="I97" s="39" t="s">
        <x:v>582</x:v>
      </x:c>
      <x:c r="J97" s="36" t="s">
        <x:v>618</x:v>
      </x:c>
      <x:c r="K97" s="37" t="s">
        <x:v>619</x:v>
      </x:c>
      <x:c r="L97" s="36" t="s">
        <x:v>166</x:v>
      </x:c>
      <x:c r="M97" s="36" t="s">
        <x:v>167</x:v>
      </x:c>
      <x:c r="N97" s="40" t="s">
        <x:v>168</x:v>
      </x:c>
      <x:c r="O97" s="36" t="s">
        <x:v>588</x:v>
      </x:c>
      <x:c r="P97" s="37" t="s">
        <x:v>169</x:v>
      </x:c>
      <x:c r="Q97" s="36" t="s">
        <x:v>40</x:v>
      </x:c>
      <x:c r="R97" s="41" t="s">
        <x:v>170</x:v>
      </x:c>
      <x:c r="S97" s="37"/>
      <x:c r="T97" s="42" t="s">
        <x:v>30</x:v>
      </x:c>
      <x:c r="U97" s="43" t="s">
        <x:v>41</x:v>
      </x:c>
      <x:c r="V97" s="43" t="s">
        <x:v>589</x:v>
      </x:c>
      <x:c r="W97" s="8" t="str">
        <x:f>+VLOOKUP($A97,'TMS- NODE'!$A$6:$N$260,6,0)</x:f>
        <x:v>107.682627226837,16.1279322474207</x:v>
      </x:c>
    </x:row>
    <x:row r="98">
      <x:c r="A98" s="34" t="s">
        <x:v>620</x:v>
      </x:c>
      <x:c r="B98" s="35" t="s">
        <x:v>621</x:v>
      </x:c>
      <x:c r="C98" s="36" t="s">
        <x:v>28</x:v>
      </x:c>
      <x:c r="D98" s="36" t="s">
        <x:v>29</x:v>
      </x:c>
      <x:c r="E98" s="37" t="s">
        <x:v>30</x:v>
      </x:c>
      <x:c r="F98" s="36" t="s">
        <x:v>29</x:v>
      </x:c>
      <x:c r="G98" s="37" t="s">
        <x:v>31</x:v>
      </x:c>
      <x:c r="H98" s="38" t="s">
        <x:v>384</x:v>
      </x:c>
      <x:c r="I98" s="39" t="s">
        <x:v>385</x:v>
      </x:c>
      <x:c r="J98" s="36" t="s">
        <x:v>621</x:v>
      </x:c>
      <x:c r="K98" s="37" t="s">
        <x:v>622</x:v>
      </x:c>
      <x:c r="L98" s="36" t="s">
        <x:v>174</x:v>
      </x:c>
      <x:c r="M98" s="36" t="s">
        <x:v>175</x:v>
      </x:c>
      <x:c r="N98" s="40" t="s">
        <x:v>176</x:v>
      </x:c>
      <x:c r="O98" s="36" t="s">
        <x:v>588</x:v>
      </x:c>
      <x:c r="P98" s="37" t="s">
        <x:v>177</x:v>
      </x:c>
      <x:c r="Q98" s="36" t="s">
        <x:v>40</x:v>
      </x:c>
      <x:c r="R98" s="41" t="s">
        <x:v>623</x:v>
      </x:c>
      <x:c r="S98" s="37"/>
      <x:c r="T98" s="42" t="s">
        <x:v>30</x:v>
      </x:c>
      <x:c r="U98" s="43" t="s">
        <x:v>41</x:v>
      </x:c>
      <x:c r="V98" s="43" t="s">
        <x:v>589</x:v>
      </x:c>
      <x:c r="W98" s="8" t="str">
        <x:f>+VLOOKUP($A98,'TMS- NODE'!$A$6:$N$260,6,0)</x:f>
        <x:v>107.714418317865,16.4464380808308</x:v>
      </x:c>
    </x:row>
    <x:row r="99">
      <x:c r="A99" s="34" t="s">
        <x:v>624</x:v>
      </x:c>
      <x:c r="B99" s="35" t="s">
        <x:v>625</x:v>
      </x:c>
      <x:c r="C99" s="36" t="s">
        <x:v>28</x:v>
      </x:c>
      <x:c r="D99" s="36" t="s">
        <x:v>29</x:v>
      </x:c>
      <x:c r="E99" s="37" t="s">
        <x:v>30</x:v>
      </x:c>
      <x:c r="F99" s="36" t="s">
        <x:v>29</x:v>
      </x:c>
      <x:c r="G99" s="37" t="s">
        <x:v>31</x:v>
      </x:c>
      <x:c r="H99" s="38" t="s">
        <x:v>626</x:v>
      </x:c>
      <x:c r="I99" s="39" t="s">
        <x:v>627</x:v>
      </x:c>
      <x:c r="J99" s="36" t="s">
        <x:v>625</x:v>
      </x:c>
      <x:c r="K99" s="37" t="s">
        <x:v>628</x:v>
      </x:c>
      <x:c r="L99" s="36" t="s">
        <x:v>182</x:v>
      </x:c>
      <x:c r="M99" s="36" t="s">
        <x:v>183</x:v>
      </x:c>
      <x:c r="N99" s="40" t="s">
        <x:v>184</x:v>
      </x:c>
      <x:c r="O99" s="36" t="s">
        <x:v>588</x:v>
      </x:c>
      <x:c r="P99" s="37" t="s">
        <x:v>185</x:v>
      </x:c>
      <x:c r="Q99" s="36" t="s">
        <x:v>40</x:v>
      </x:c>
      <x:c r="R99" s="41" t="s">
        <x:v>629</x:v>
      </x:c>
      <x:c r="S99" s="37"/>
      <x:c r="T99" s="42" t="s">
        <x:v>30</x:v>
      </x:c>
      <x:c r="U99" s="43" t="s">
        <x:v>41</x:v>
      </x:c>
      <x:c r="V99" s="43" t="s">
        <x:v>589</x:v>
      </x:c>
      <x:c r="W99" s="8" t="str">
        <x:f>+VLOOKUP($A99,'TMS- NODE'!$A$6:$N$260,6,0)</x:f>
        <x:v>107.860034879957,16.2803428466448</x:v>
      </x:c>
    </x:row>
    <x:row r="100">
      <x:c r="A100" s="34" t="s">
        <x:v>630</x:v>
      </x:c>
      <x:c r="B100" s="44" t="s">
        <x:v>631</x:v>
      </x:c>
      <x:c r="C100" s="45" t="s">
        <x:v>28</x:v>
      </x:c>
      <x:c r="D100" s="45" t="s">
        <x:v>29</x:v>
      </x:c>
      <x:c r="E100" s="46" t="s">
        <x:v>30</x:v>
      </x:c>
      <x:c r="F100" s="45" t="s">
        <x:v>29</x:v>
      </x:c>
      <x:c r="G100" s="46" t="s">
        <x:v>31</x:v>
      </x:c>
      <x:c r="H100" s="47" t="s">
        <x:v>194</x:v>
      </x:c>
      <x:c r="I100" s="48" t="s">
        <x:v>195</x:v>
      </x:c>
      <x:c r="J100" s="45" t="s">
        <x:v>631</x:v>
      </x:c>
      <x:c r="K100" s="46" t="s">
        <x:v>195</x:v>
      </x:c>
      <x:c r="L100" s="45" t="s">
        <x:v>110</x:v>
      </x:c>
      <x:c r="M100" s="45" t="s">
        <x:v>111</x:v>
      </x:c>
      <x:c r="N100" s="49" t="s">
        <x:v>112</x:v>
      </x:c>
      <x:c r="O100" s="45" t="s">
        <x:v>632</x:v>
      </x:c>
      <x:c r="P100" s="46" t="s">
        <x:v>114</x:v>
      </x:c>
      <x:c r="Q100" s="45" t="s">
        <x:v>115</x:v>
      </x:c>
      <x:c r="R100" s="50" t="s">
        <x:v>633</x:v>
      </x:c>
      <x:c r="S100" s="46"/>
      <x:c r="T100" s="42" t="s">
        <x:v>30</x:v>
      </x:c>
      <x:c r="U100" s="43" t="s">
        <x:v>41</x:v>
      </x:c>
      <x:c r="V100" s="43" t="s">
        <x:v>634</x:v>
      </x:c>
      <x:c r="W100" s="8" t="str">
        <x:f>+VLOOKUP($A100,'TMS- NODE'!$A$6:$N$260,6,0)</x:f>
        <x:v>107.590369869917,16.4648867039695</x:v>
      </x:c>
    </x:row>
    <x:row r="101">
      <x:c r="A101" s="34" t="s">
        <x:v>635</x:v>
      </x:c>
      <x:c r="B101" s="35" t="s">
        <x:v>636</x:v>
      </x:c>
      <x:c r="C101" s="36" t="s">
        <x:v>28</x:v>
      </x:c>
      <x:c r="D101" s="36" t="s">
        <x:v>29</x:v>
      </x:c>
      <x:c r="E101" s="37" t="s">
        <x:v>30</x:v>
      </x:c>
      <x:c r="F101" s="36" t="s">
        <x:v>29</x:v>
      </x:c>
      <x:c r="G101" s="37" t="s">
        <x:v>31</x:v>
      </x:c>
      <x:c r="H101" s="38" t="s">
        <x:v>194</x:v>
      </x:c>
      <x:c r="I101" s="39" t="s">
        <x:v>195</x:v>
      </x:c>
      <x:c r="J101" s="36" t="s">
        <x:v>636</x:v>
      </x:c>
      <x:c r="K101" s="37" t="s">
        <x:v>637</x:v>
      </x:c>
      <x:c r="L101" s="36" t="s">
        <x:v>110</x:v>
      </x:c>
      <x:c r="M101" s="36" t="s">
        <x:v>111</x:v>
      </x:c>
      <x:c r="N101" s="40" t="s">
        <x:v>112</x:v>
      </x:c>
      <x:c r="O101" s="36" t="s">
        <x:v>632</x:v>
      </x:c>
      <x:c r="P101" s="37" t="s">
        <x:v>114</x:v>
      </x:c>
      <x:c r="Q101" s="36" t="s">
        <x:v>40</x:v>
      </x:c>
      <x:c r="R101" s="41" t="s">
        <x:v>636</x:v>
      </x:c>
      <x:c r="S101" s="37"/>
      <x:c r="T101" s="42" t="s">
        <x:v>30</x:v>
      </x:c>
      <x:c r="U101" s="43" t="s">
        <x:v>41</x:v>
      </x:c>
      <x:c r="V101" s="43" t="s">
        <x:v>634</x:v>
      </x:c>
      <x:c r="W101" s="8" t="str">
        <x:f>+VLOOKUP($A101,'TMS- NODE'!$A$6:$N$260,6,0)</x:f>
        <x:v>107.590369869917,16.4648867039695</x:v>
      </x:c>
    </x:row>
    <x:row r="102">
      <x:c r="A102" s="34" t="s">
        <x:v>638</x:v>
      </x:c>
      <x:c r="B102" s="44" t="s">
        <x:v>639</x:v>
      </x:c>
      <x:c r="C102" s="45" t="s">
        <x:v>28</x:v>
      </x:c>
      <x:c r="D102" s="45" t="s">
        <x:v>29</x:v>
      </x:c>
      <x:c r="E102" s="46" t="s">
        <x:v>30</x:v>
      </x:c>
      <x:c r="F102" s="45" t="s">
        <x:v>29</x:v>
      </x:c>
      <x:c r="G102" s="46" t="s">
        <x:v>31</x:v>
      </x:c>
      <x:c r="H102" s="47" t="s">
        <x:v>481</x:v>
      </x:c>
      <x:c r="I102" s="48" t="s">
        <x:v>482</x:v>
      </x:c>
      <x:c r="J102" s="45" t="s">
        <x:v>639</x:v>
      </x:c>
      <x:c r="K102" s="46" t="s">
        <x:v>482</x:v>
      </x:c>
      <x:c r="L102" s="45" t="s">
        <x:v>141</x:v>
      </x:c>
      <x:c r="M102" s="45" t="s">
        <x:v>142</x:v>
      </x:c>
      <x:c r="N102" s="49" t="s">
        <x:v>143</x:v>
      </x:c>
      <x:c r="O102" s="45" t="s">
        <x:v>632</x:v>
      </x:c>
      <x:c r="P102" s="46" t="s">
        <x:v>144</x:v>
      </x:c>
      <x:c r="Q102" s="45" t="s">
        <x:v>115</x:v>
      </x:c>
      <x:c r="R102" s="50" t="s">
        <x:v>605</x:v>
      </x:c>
      <x:c r="S102" s="46"/>
      <x:c r="T102" s="42" t="s">
        <x:v>30</x:v>
      </x:c>
      <x:c r="U102" s="43" t="s">
        <x:v>41</x:v>
      </x:c>
      <x:c r="V102" s="43" t="s">
        <x:v>634</x:v>
      </x:c>
      <x:c r="W102" s="8" t="str">
        <x:f>+VLOOKUP($A102,'TMS- NODE'!$A$6:$N$260,6,0)</x:f>
        <x:v>107.475963593275,16.5249405471956</x:v>
      </x:c>
    </x:row>
    <x:row r="103">
      <x:c r="A103" s="34" t="s">
        <x:v>640</x:v>
      </x:c>
      <x:c r="B103" s="44" t="s">
        <x:v>641</x:v>
      </x:c>
      <x:c r="C103" s="45" t="s">
        <x:v>28</x:v>
      </x:c>
      <x:c r="D103" s="45" t="s">
        <x:v>29</x:v>
      </x:c>
      <x:c r="E103" s="46" t="s">
        <x:v>30</x:v>
      </x:c>
      <x:c r="F103" s="45" t="s">
        <x:v>29</x:v>
      </x:c>
      <x:c r="G103" s="46" t="s">
        <x:v>31</x:v>
      </x:c>
      <x:c r="H103" s="47" t="s">
        <x:v>608</x:v>
      </x:c>
      <x:c r="I103" s="48" t="s">
        <x:v>609</x:v>
      </x:c>
      <x:c r="J103" s="45" t="s">
        <x:v>641</x:v>
      </x:c>
      <x:c r="K103" s="46" t="s">
        <x:v>609</x:v>
      </x:c>
      <x:c r="L103" s="45" t="s">
        <x:v>151</x:v>
      </x:c>
      <x:c r="M103" s="45" t="s">
        <x:v>152</x:v>
      </x:c>
      <x:c r="N103" s="49" t="s">
        <x:v>153</x:v>
      </x:c>
      <x:c r="O103" s="45" t="s">
        <x:v>632</x:v>
      </x:c>
      <x:c r="P103" s="46" t="s">
        <x:v>154</x:v>
      </x:c>
      <x:c r="Q103" s="45" t="s">
        <x:v>115</x:v>
      </x:c>
      <x:c r="R103" s="50" t="s">
        <x:v>611</x:v>
      </x:c>
      <x:c r="S103" s="46"/>
      <x:c r="T103" s="42" t="s">
        <x:v>30</x:v>
      </x:c>
      <x:c r="U103" s="43" t="s">
        <x:v>41</x:v>
      </x:c>
      <x:c r="V103" s="43" t="s">
        <x:v>634</x:v>
      </x:c>
      <x:c r="W103" s="8" t="str">
        <x:f>+VLOOKUP($A103,'TMS- NODE'!$A$6:$N$260,6,0)</x:f>
        <x:v>107.231889912162,16.2736382189923</x:v>
      </x:c>
    </x:row>
    <x:row r="104">
      <x:c r="A104" s="34" t="s">
        <x:v>642</x:v>
      </x:c>
      <x:c r="B104" s="44" t="s">
        <x:v>643</x:v>
      </x:c>
      <x:c r="C104" s="45" t="s">
        <x:v>28</x:v>
      </x:c>
      <x:c r="D104" s="45" t="s">
        <x:v>29</x:v>
      </x:c>
      <x:c r="E104" s="46" t="s">
        <x:v>30</x:v>
      </x:c>
      <x:c r="F104" s="45" t="s">
        <x:v>29</x:v>
      </x:c>
      <x:c r="G104" s="46" t="s">
        <x:v>31</x:v>
      </x:c>
      <x:c r="H104" s="47" t="s">
        <x:v>503</x:v>
      </x:c>
      <x:c r="I104" s="48" t="s">
        <x:v>504</x:v>
      </x:c>
      <x:c r="J104" s="45" t="s">
        <x:v>643</x:v>
      </x:c>
      <x:c r="K104" s="46" t="s">
        <x:v>504</x:v>
      </x:c>
      <x:c r="L104" s="45" t="s">
        <x:v>48</x:v>
      </x:c>
      <x:c r="M104" s="45" t="s">
        <x:v>49</x:v>
      </x:c>
      <x:c r="N104" s="49" t="s">
        <x:v>50</x:v>
      </x:c>
      <x:c r="O104" s="45" t="s">
        <x:v>632</x:v>
      </x:c>
      <x:c r="P104" s="46" t="s">
        <x:v>159</x:v>
      </x:c>
      <x:c r="Q104" s="45" t="s">
        <x:v>115</x:v>
      </x:c>
      <x:c r="R104" s="50" t="s">
        <x:v>616</x:v>
      </x:c>
      <x:c r="S104" s="46"/>
      <x:c r="T104" s="42" t="s">
        <x:v>30</x:v>
      </x:c>
      <x:c r="U104" s="43" t="s">
        <x:v>41</x:v>
      </x:c>
      <x:c r="V104" s="43" t="s">
        <x:v>634</x:v>
      </x:c>
      <x:c r="W104" s="8" t="str">
        <x:f>+VLOOKUP($A104,'TMS- NODE'!$A$6:$N$260,6,0)</x:f>
        <x:v>107.688858973105,16.3837080161244</x:v>
      </x:c>
    </x:row>
    <x:row r="105">
      <x:c r="A105" s="34" t="s">
        <x:v>644</x:v>
      </x:c>
      <x:c r="B105" s="44" t="s">
        <x:v>645</x:v>
      </x:c>
      <x:c r="C105" s="45" t="s">
        <x:v>28</x:v>
      </x:c>
      <x:c r="D105" s="45" t="s">
        <x:v>29</x:v>
      </x:c>
      <x:c r="E105" s="46" t="s">
        <x:v>30</x:v>
      </x:c>
      <x:c r="F105" s="45" t="s">
        <x:v>29</x:v>
      </x:c>
      <x:c r="G105" s="46" t="s">
        <x:v>31</x:v>
      </x:c>
      <x:c r="H105" s="47" t="s">
        <x:v>646</x:v>
      </x:c>
      <x:c r="I105" s="48" t="s">
        <x:v>647</x:v>
      </x:c>
      <x:c r="J105" s="45" t="s">
        <x:v>645</x:v>
      </x:c>
      <x:c r="K105" s="46" t="s">
        <x:v>647</x:v>
      </x:c>
      <x:c r="L105" s="45" t="s">
        <x:v>57</x:v>
      </x:c>
      <x:c r="M105" s="45" t="s">
        <x:v>58</x:v>
      </x:c>
      <x:c r="N105" s="49" t="s">
        <x:v>59</x:v>
      </x:c>
      <x:c r="O105" s="45" t="s">
        <x:v>632</x:v>
      </x:c>
      <x:c r="P105" s="46" t="s">
        <x:v>318</x:v>
      </x:c>
      <x:c r="Q105" s="45" t="s">
        <x:v>115</x:v>
      </x:c>
      <x:c r="R105" s="50" t="s">
        <x:v>648</x:v>
      </x:c>
      <x:c r="S105" s="46"/>
      <x:c r="T105" s="42" t="s">
        <x:v>30</x:v>
      </x:c>
      <x:c r="U105" s="43" t="s">
        <x:v>41</x:v>
      </x:c>
      <x:c r="V105" s="43" t="s">
        <x:v>634</x:v>
      </x:c>
      <x:c r="W105" s="8" t="str">
        <x:f>+VLOOKUP($A105,'TMS- NODE'!$A$6:$N$260,6,0)</x:f>
        <x:v>107.597967075279,16.5092325898865</x:v>
      </x:c>
    </x:row>
    <x:row r="106">
      <x:c r="A106" s="34" t="s">
        <x:v>649</x:v>
      </x:c>
      <x:c r="B106" s="44" t="s">
        <x:v>650</x:v>
      </x:c>
      <x:c r="C106" s="45" t="s">
        <x:v>28</x:v>
      </x:c>
      <x:c r="D106" s="45" t="s">
        <x:v>29</x:v>
      </x:c>
      <x:c r="E106" s="46" t="s">
        <x:v>30</x:v>
      </x:c>
      <x:c r="F106" s="45" t="s">
        <x:v>29</x:v>
      </x:c>
      <x:c r="G106" s="46" t="s">
        <x:v>31</x:v>
      </x:c>
      <x:c r="H106" s="47" t="s">
        <x:v>626</x:v>
      </x:c>
      <x:c r="I106" s="48" t="s">
        <x:v>627</x:v>
      </x:c>
      <x:c r="J106" s="45" t="s">
        <x:v>650</x:v>
      </x:c>
      <x:c r="K106" s="46" t="s">
        <x:v>627</x:v>
      </x:c>
      <x:c r="L106" s="45" t="s">
        <x:v>182</x:v>
      </x:c>
      <x:c r="M106" s="45" t="s">
        <x:v>183</x:v>
      </x:c>
      <x:c r="N106" s="49" t="s">
        <x:v>184</x:v>
      </x:c>
      <x:c r="O106" s="45" t="s">
        <x:v>632</x:v>
      </x:c>
      <x:c r="P106" s="46" t="s">
        <x:v>185</x:v>
      </x:c>
      <x:c r="Q106" s="45" t="s">
        <x:v>115</x:v>
      </x:c>
      <x:c r="R106" s="50" t="s">
        <x:v>629</x:v>
      </x:c>
      <x:c r="S106" s="46"/>
      <x:c r="T106" s="42" t="s">
        <x:v>30</x:v>
      </x:c>
      <x:c r="U106" s="43" t="s">
        <x:v>41</x:v>
      </x:c>
      <x:c r="V106" s="43" t="s">
        <x:v>634</x:v>
      </x:c>
      <x:c r="W106" s="8" t="str">
        <x:f>+VLOOKUP($A106,'TMS- NODE'!$A$6:$N$260,6,0)</x:f>
        <x:v>107.860034879957,16.2803428466448</x:v>
      </x:c>
    </x:row>
    <x:row r="107">
      <x:c r="A107" s="34" t="s">
        <x:v>651</x:v>
      </x:c>
      <x:c r="B107" s="35" t="s">
        <x:v>652</x:v>
      </x:c>
      <x:c r="C107" s="36" t="s">
        <x:v>28</x:v>
      </x:c>
      <x:c r="D107" s="36" t="s">
        <x:v>29</x:v>
      </x:c>
      <x:c r="E107" s="37" t="s">
        <x:v>30</x:v>
      </x:c>
      <x:c r="F107" s="36" t="s">
        <x:v>29</x:v>
      </x:c>
      <x:c r="G107" s="37" t="s">
        <x:v>31</x:v>
      </x:c>
      <x:c r="H107" s="38" t="s">
        <x:v>384</x:v>
      </x:c>
      <x:c r="I107" s="39" t="s">
        <x:v>385</x:v>
      </x:c>
      <x:c r="J107" s="36" t="s">
        <x:v>652</x:v>
      </x:c>
      <x:c r="K107" s="37" t="s">
        <x:v>653</x:v>
      </x:c>
      <x:c r="L107" s="36" t="s">
        <x:v>110</x:v>
      </x:c>
      <x:c r="M107" s="36" t="s">
        <x:v>111</x:v>
      </x:c>
      <x:c r="N107" s="40" t="s">
        <x:v>112</x:v>
      </x:c>
      <x:c r="O107" s="36" t="s">
        <x:v>632</x:v>
      </x:c>
      <x:c r="P107" s="37" t="s">
        <x:v>197</x:v>
      </x:c>
      <x:c r="Q107" s="36" t="s">
        <x:v>40</x:v>
      </x:c>
      <x:c r="R107" s="41" t="s">
        <x:v>654</x:v>
      </x:c>
      <x:c r="S107" s="37"/>
      <x:c r="T107" s="42" t="s">
        <x:v>30</x:v>
      </x:c>
      <x:c r="U107" s="43" t="s">
        <x:v>41</x:v>
      </x:c>
      <x:c r="V107" s="43" t="s">
        <x:v>634</x:v>
      </x:c>
      <x:c r="W107" s="8" t="str">
        <x:f>+VLOOKUP($A107,'TMS- NODE'!$A$6:$N$260,6,0)</x:f>
        <x:v>107.590361744488,16.4648889303289</x:v>
      </x:c>
    </x:row>
    <x:row r="108">
      <x:c r="A108" s="34" t="s">
        <x:v>655</x:v>
      </x:c>
      <x:c r="B108" s="35" t="s">
        <x:v>656</x:v>
      </x:c>
      <x:c r="C108" s="36" t="s">
        <x:v>28</x:v>
      </x:c>
      <x:c r="D108" s="36" t="s">
        <x:v>29</x:v>
      </x:c>
      <x:c r="E108" s="37" t="s">
        <x:v>30</x:v>
      </x:c>
      <x:c r="F108" s="36" t="s">
        <x:v>29</x:v>
      </x:c>
      <x:c r="G108" s="37" t="s">
        <x:v>31</x:v>
      </x:c>
      <x:c r="H108" s="38" t="s">
        <x:v>384</x:v>
      </x:c>
      <x:c r="I108" s="39" t="s">
        <x:v>385</x:v>
      </x:c>
      <x:c r="J108" s="36" t="s">
        <x:v>656</x:v>
      </x:c>
      <x:c r="K108" s="37" t="s">
        <x:v>657</x:v>
      </x:c>
      <x:c r="L108" s="36" t="s">
        <x:v>231</x:v>
      </x:c>
      <x:c r="M108" s="36" t="s">
        <x:v>232</x:v>
      </x:c>
      <x:c r="N108" s="40" t="s">
        <x:v>233</x:v>
      </x:c>
      <x:c r="O108" s="36" t="s">
        <x:v>632</x:v>
      </x:c>
      <x:c r="P108" s="37" t="s">
        <x:v>658</x:v>
      </x:c>
      <x:c r="Q108" s="36" t="s">
        <x:v>40</x:v>
      </x:c>
      <x:c r="R108" s="41" t="s">
        <x:v>659</x:v>
      </x:c>
      <x:c r="S108" s="37"/>
      <x:c r="T108" s="42" t="s">
        <x:v>30</x:v>
      </x:c>
      <x:c r="U108" s="43" t="s">
        <x:v>41</x:v>
      </x:c>
      <x:c r="V108" s="43" t="s">
        <x:v>634</x:v>
      </x:c>
      <x:c r="W108" s="8" t="str">
        <x:f>+VLOOKUP($A108,'TMS- NODE'!$A$6:$N$260,6,0)</x:f>
        <x:v>107.547617528269,16.4857877305529</x:v>
      </x:c>
    </x:row>
    <x:row r="109">
      <x:c r="A109" s="34" t="s">
        <x:v>660</x:v>
      </x:c>
      <x:c r="B109" s="35" t="s">
        <x:v>661</x:v>
      </x:c>
      <x:c r="C109" s="36" t="s">
        <x:v>28</x:v>
      </x:c>
      <x:c r="D109" s="36" t="s">
        <x:v>29</x:v>
      </x:c>
      <x:c r="E109" s="37" t="s">
        <x:v>30</x:v>
      </x:c>
      <x:c r="F109" s="36" t="s">
        <x:v>29</x:v>
      </x:c>
      <x:c r="G109" s="37" t="s">
        <x:v>31</x:v>
      </x:c>
      <x:c r="H109" s="38" t="s">
        <x:v>481</x:v>
      </x:c>
      <x:c r="I109" s="39" t="s">
        <x:v>482</x:v>
      </x:c>
      <x:c r="J109" s="36" t="s">
        <x:v>661</x:v>
      </x:c>
      <x:c r="K109" s="37" t="s">
        <x:v>662</x:v>
      </x:c>
      <x:c r="L109" s="36" t="s">
        <x:v>123</x:v>
      </x:c>
      <x:c r="M109" s="36" t="s">
        <x:v>124</x:v>
      </x:c>
      <x:c r="N109" s="40" t="s">
        <x:v>125</x:v>
      </x:c>
      <x:c r="O109" s="36" t="s">
        <x:v>632</x:v>
      </x:c>
      <x:c r="P109" s="37" t="s">
        <x:v>596</x:v>
      </x:c>
      <x:c r="Q109" s="36" t="s">
        <x:v>40</x:v>
      </x:c>
      <x:c r="R109" s="41" t="s">
        <x:v>597</x:v>
      </x:c>
      <x:c r="S109" s="37"/>
      <x:c r="T109" s="42" t="s">
        <x:v>30</x:v>
      </x:c>
      <x:c r="U109" s="43" t="s">
        <x:v>41</x:v>
      </x:c>
      <x:c r="V109" s="43" t="s">
        <x:v>634</x:v>
      </x:c>
      <x:c r="W109" s="8" t="str">
        <x:f>+VLOOKUP($A109,'TMS- NODE'!$A$6:$N$260,6,0)</x:f>
        <x:v>107.511480822864,16.5746300293337</x:v>
      </x:c>
    </x:row>
    <x:row r="110">
      <x:c r="A110" s="34" t="s">
        <x:v>663</x:v>
      </x:c>
      <x:c r="B110" s="35" t="s">
        <x:v>664</x:v>
      </x:c>
      <x:c r="C110" s="36" t="s">
        <x:v>28</x:v>
      </x:c>
      <x:c r="D110" s="36" t="s">
        <x:v>29</x:v>
      </x:c>
      <x:c r="E110" s="37" t="s">
        <x:v>30</x:v>
      </x:c>
      <x:c r="F110" s="36" t="s">
        <x:v>29</x:v>
      </x:c>
      <x:c r="G110" s="37" t="s">
        <x:v>31</x:v>
      </x:c>
      <x:c r="H110" s="38" t="s">
        <x:v>481</x:v>
      </x:c>
      <x:c r="I110" s="39" t="s">
        <x:v>482</x:v>
      </x:c>
      <x:c r="J110" s="36" t="s">
        <x:v>664</x:v>
      </x:c>
      <x:c r="K110" s="37" t="s">
        <x:v>665</x:v>
      </x:c>
      <x:c r="L110" s="36" t="s">
        <x:v>131</x:v>
      </x:c>
      <x:c r="M110" s="36" t="s">
        <x:v>132</x:v>
      </x:c>
      <x:c r="N110" s="40" t="s">
        <x:v>133</x:v>
      </x:c>
      <x:c r="O110" s="36" t="s">
        <x:v>632</x:v>
      </x:c>
      <x:c r="P110" s="37" t="s">
        <x:v>134</x:v>
      </x:c>
      <x:c r="Q110" s="36" t="s">
        <x:v>40</x:v>
      </x:c>
      <x:c r="R110" s="41" t="s">
        <x:v>601</x:v>
      </x:c>
      <x:c r="S110" s="37"/>
      <x:c r="T110" s="42" t="s">
        <x:v>30</x:v>
      </x:c>
      <x:c r="U110" s="43" t="s">
        <x:v>41</x:v>
      </x:c>
      <x:c r="V110" s="43" t="s">
        <x:v>634</x:v>
      </x:c>
      <x:c r="W110" s="8" t="str">
        <x:f>+VLOOKUP($A110,'TMS- NODE'!$A$6:$N$260,6,0)</x:f>
        <x:v>107.364443316674,16.5821419703036</x:v>
      </x:c>
    </x:row>
    <x:row r="111">
      <x:c r="A111" s="34" t="s">
        <x:v>666</x:v>
      </x:c>
      <x:c r="B111" s="35" t="s">
        <x:v>667</x:v>
      </x:c>
      <x:c r="C111" s="36" t="s">
        <x:v>28</x:v>
      </x:c>
      <x:c r="D111" s="36" t="s">
        <x:v>29</x:v>
      </x:c>
      <x:c r="E111" s="37" t="s">
        <x:v>30</x:v>
      </x:c>
      <x:c r="F111" s="36" t="s">
        <x:v>29</x:v>
      </x:c>
      <x:c r="G111" s="37" t="s">
        <x:v>31</x:v>
      </x:c>
      <x:c r="H111" s="38" t="s">
        <x:v>581</x:v>
      </x:c>
      <x:c r="I111" s="39" t="s">
        <x:v>582</x:v>
      </x:c>
      <x:c r="J111" s="36" t="s">
        <x:v>667</x:v>
      </x:c>
      <x:c r="K111" s="37" t="s">
        <x:v>668</x:v>
      </x:c>
      <x:c r="L111" s="36" t="s">
        <x:v>166</x:v>
      </x:c>
      <x:c r="M111" s="36" t="s">
        <x:v>167</x:v>
      </x:c>
      <x:c r="N111" s="40" t="s">
        <x:v>168</x:v>
      </x:c>
      <x:c r="O111" s="36" t="s">
        <x:v>632</x:v>
      </x:c>
      <x:c r="P111" s="37" t="s">
        <x:v>169</x:v>
      </x:c>
      <x:c r="Q111" s="36" t="s">
        <x:v>40</x:v>
      </x:c>
      <x:c r="R111" s="41" t="s">
        <x:v>170</x:v>
      </x:c>
      <x:c r="S111" s="37"/>
      <x:c r="T111" s="42" t="s">
        <x:v>30</x:v>
      </x:c>
      <x:c r="U111" s="43" t="s">
        <x:v>41</x:v>
      </x:c>
      <x:c r="V111" s="43" t="s">
        <x:v>634</x:v>
      </x:c>
      <x:c r="W111" s="8" t="str">
        <x:f>+VLOOKUP($A111,'TMS- NODE'!$A$6:$N$260,6,0)</x:f>
        <x:v>107.682627226837,16.1279322474207</x:v>
      </x:c>
    </x:row>
    <x:row r="112">
      <x:c r="A112" s="34" t="s">
        <x:v>669</x:v>
      </x:c>
      <x:c r="B112" s="35" t="s">
        <x:v>670</x:v>
      </x:c>
      <x:c r="C112" s="36" t="s">
        <x:v>28</x:v>
      </x:c>
      <x:c r="D112" s="36" t="s">
        <x:v>29</x:v>
      </x:c>
      <x:c r="E112" s="37" t="s">
        <x:v>30</x:v>
      </x:c>
      <x:c r="F112" s="36" t="s">
        <x:v>29</x:v>
      </x:c>
      <x:c r="G112" s="37" t="s">
        <x:v>31</x:v>
      </x:c>
      <x:c r="H112" s="38" t="s">
        <x:v>54</x:v>
      </x:c>
      <x:c r="I112" s="39" t="s">
        <x:v>55</x:v>
      </x:c>
      <x:c r="J112" s="36" t="s">
        <x:v>670</x:v>
      </x:c>
      <x:c r="K112" s="37" t="s">
        <x:v>671</x:v>
      </x:c>
      <x:c r="L112" s="36" t="s">
        <x:v>57</x:v>
      </x:c>
      <x:c r="M112" s="36" t="s">
        <x:v>58</x:v>
      </x:c>
      <x:c r="N112" s="40" t="s">
        <x:v>59</x:v>
      </x:c>
      <x:c r="O112" s="36" t="s">
        <x:v>632</x:v>
      </x:c>
      <x:c r="P112" s="37" t="s">
        <x:v>318</x:v>
      </x:c>
      <x:c r="Q112" s="36" t="s">
        <x:v>40</x:v>
      </x:c>
      <x:c r="R112" s="41" t="s">
        <x:v>672</x:v>
      </x:c>
      <x:c r="S112" s="37"/>
      <x:c r="T112" s="42" t="s">
        <x:v>30</x:v>
      </x:c>
      <x:c r="U112" s="43" t="s">
        <x:v>41</x:v>
      </x:c>
      <x:c r="V112" s="43" t="s">
        <x:v>634</x:v>
      </x:c>
      <x:c r="W112" s="8" t="str">
        <x:f>+VLOOKUP($A112,'TMS- NODE'!$A$6:$N$260,6,0)</x:f>
        <x:v>107.597967075279,16.5092325898865</x:v>
      </x:c>
    </x:row>
    <x:row r="113">
      <x:c r="A113" s="34" t="s">
        <x:v>673</x:v>
      </x:c>
      <x:c r="B113" s="35" t="s">
        <x:v>674</x:v>
      </x:c>
      <x:c r="C113" s="36" t="s">
        <x:v>28</x:v>
      </x:c>
      <x:c r="D113" s="36" t="s">
        <x:v>29</x:v>
      </x:c>
      <x:c r="E113" s="37" t="s">
        <x:v>30</x:v>
      </x:c>
      <x:c r="F113" s="36" t="s">
        <x:v>29</x:v>
      </x:c>
      <x:c r="G113" s="37" t="s">
        <x:v>31</x:v>
      </x:c>
      <x:c r="H113" s="38" t="s">
        <x:v>393</x:v>
      </x:c>
      <x:c r="I113" s="39" t="s">
        <x:v>394</x:v>
      </x:c>
      <x:c r="J113" s="36" t="s">
        <x:v>674</x:v>
      </x:c>
      <x:c r="K113" s="37" t="s">
        <x:v>173</x:v>
      </x:c>
      <x:c r="L113" s="36"/>
      <x:c r="M113" s="36"/>
      <x:c r="N113" s="40"/>
      <x:c r="O113" s="36" t="s">
        <x:v>632</x:v>
      </x:c>
      <x:c r="P113" s="37" t="s">
        <x:v>675</x:v>
      </x:c>
      <x:c r="Q113" s="36" t="s">
        <x:v>40</x:v>
      </x:c>
      <x:c r="R113" s="41" t="s">
        <x:v>674</x:v>
      </x:c>
      <x:c r="S113" s="37"/>
      <x:c r="T113" s="42" t="s">
        <x:v>30</x:v>
      </x:c>
      <x:c r="U113" s="43" t="s">
        <x:v>41</x:v>
      </x:c>
      <x:c r="V113" s="43" t="s">
        <x:v>634</x:v>
      </x:c>
      <x:c r="W113" s="8" t="str">
        <x:f>+VLOOKUP($A113,'TMS- NODE'!$A$6:$N$260,6,0)</x:f>
        <x:v>107.714418317865,16.4464380808308</x:v>
      </x:c>
    </x:row>
    <x:row r="114">
      <x:c r="A114" s="34" t="s">
        <x:v>676</x:v>
      </x:c>
      <x:c r="B114" s="44" t="s">
        <x:v>677</x:v>
      </x:c>
      <x:c r="C114" s="45" t="s">
        <x:v>28</x:v>
      </x:c>
      <x:c r="D114" s="45" t="s">
        <x:v>29</x:v>
      </x:c>
      <x:c r="E114" s="46" t="s">
        <x:v>30</x:v>
      </x:c>
      <x:c r="F114" s="45" t="s">
        <x:v>29</x:v>
      </x:c>
      <x:c r="G114" s="46" t="s">
        <x:v>31</x:v>
      </x:c>
      <x:c r="H114" s="47" t="s">
        <x:v>228</x:v>
      </x:c>
      <x:c r="I114" s="48" t="s">
        <x:v>229</x:v>
      </x:c>
      <x:c r="J114" s="45" t="s">
        <x:v>677</x:v>
      </x:c>
      <x:c r="K114" s="46" t="s">
        <x:v>678</x:v>
      </x:c>
      <x:c r="L114" s="45" t="s">
        <x:v>231</x:v>
      </x:c>
      <x:c r="M114" s="45" t="s">
        <x:v>232</x:v>
      </x:c>
      <x:c r="N114" s="49" t="s">
        <x:v>233</x:v>
      </x:c>
      <x:c r="O114" s="45" t="s">
        <x:v>679</x:v>
      </x:c>
      <x:c r="P114" s="46" t="s">
        <x:v>680</x:v>
      </x:c>
      <x:c r="Q114" s="45" t="s">
        <x:v>115</x:v>
      </x:c>
      <x:c r="R114" s="50" t="s">
        <x:v>681</x:v>
      </x:c>
      <x:c r="S114" s="46"/>
      <x:c r="T114" s="42" t="s">
        <x:v>30</x:v>
      </x:c>
      <x:c r="U114" s="43" t="s">
        <x:v>41</x:v>
      </x:c>
      <x:c r="V114" s="43" t="s">
        <x:v>682</x:v>
      </x:c>
      <x:c r="W114" s="8" t="str">
        <x:f>+VLOOKUP($A114,'TMS- NODE'!$A$6:$N$260,6,0)</x:f>
        <x:v>107.5642877,16.49518491</x:v>
      </x:c>
    </x:row>
    <x:row r="115">
      <x:c r="A115" s="34" t="s">
        <x:v>683</x:v>
      </x:c>
      <x:c r="B115" s="44" t="s">
        <x:v>684</x:v>
      </x:c>
      <x:c r="C115" s="45" t="s">
        <x:v>28</x:v>
      </x:c>
      <x:c r="D115" s="45" t="s">
        <x:v>29</x:v>
      </x:c>
      <x:c r="E115" s="46" t="s">
        <x:v>30</x:v>
      </x:c>
      <x:c r="F115" s="45" t="s">
        <x:v>29</x:v>
      </x:c>
      <x:c r="G115" s="46" t="s">
        <x:v>31</x:v>
      </x:c>
      <x:c r="H115" s="47" t="s">
        <x:v>218</x:v>
      </x:c>
      <x:c r="I115" s="48" t="s">
        <x:v>219</x:v>
      </x:c>
      <x:c r="J115" s="45" t="s">
        <x:v>684</x:v>
      </x:c>
      <x:c r="K115" s="46" t="s">
        <x:v>685</x:v>
      </x:c>
      <x:c r="L115" s="45" t="s">
        <x:v>221</x:v>
      </x:c>
      <x:c r="M115" s="45" t="s">
        <x:v>222</x:v>
      </x:c>
      <x:c r="N115" s="49" t="s">
        <x:v>223</x:v>
      </x:c>
      <x:c r="O115" s="45" t="s">
        <x:v>679</x:v>
      </x:c>
      <x:c r="P115" s="46" t="s">
        <x:v>686</x:v>
      </x:c>
      <x:c r="Q115" s="45" t="s">
        <x:v>115</x:v>
      </x:c>
      <x:c r="R115" s="50" t="s">
        <x:v>687</x:v>
      </x:c>
      <x:c r="S115" s="46"/>
      <x:c r="T115" s="42" t="s">
        <x:v>30</x:v>
      </x:c>
      <x:c r="U115" s="43" t="s">
        <x:v>41</x:v>
      </x:c>
      <x:c r="V115" s="43" t="s">
        <x:v>682</x:v>
      </x:c>
      <x:c r="W115" s="8" t="str">
        <x:f>+VLOOKUP($A115,'TMS- NODE'!$A$6:$N$260,6,0)</x:f>
        <x:v>107.5444948,16.4633852</x:v>
      </x:c>
    </x:row>
    <x:row r="116">
      <x:c r="A116" s="34" t="s">
        <x:v>688</x:v>
      </x:c>
      <x:c r="B116" s="44" t="s">
        <x:v>689</x:v>
      </x:c>
      <x:c r="C116" s="45" t="s">
        <x:v>28</x:v>
      </x:c>
      <x:c r="D116" s="45" t="s">
        <x:v>29</x:v>
      </x:c>
      <x:c r="E116" s="46" t="s">
        <x:v>30</x:v>
      </x:c>
      <x:c r="F116" s="45" t="s">
        <x:v>29</x:v>
      </x:c>
      <x:c r="G116" s="46" t="s">
        <x:v>31</x:v>
      </x:c>
      <x:c r="H116" s="47" t="s">
        <x:v>690</x:v>
      </x:c>
      <x:c r="I116" s="48" t="s">
        <x:v>691</x:v>
      </x:c>
      <x:c r="J116" s="45" t="s">
        <x:v>689</x:v>
      </x:c>
      <x:c r="K116" s="46" t="s">
        <x:v>692</x:v>
      </x:c>
      <x:c r="L116" s="45" t="s">
        <x:v>693</x:v>
      </x:c>
      <x:c r="M116" s="45" t="s">
        <x:v>694</x:v>
      </x:c>
      <x:c r="N116" s="49" t="s">
        <x:v>695</x:v>
      </x:c>
      <x:c r="O116" s="45" t="s">
        <x:v>679</x:v>
      </x:c>
      <x:c r="P116" s="46" t="s">
        <x:v>696</x:v>
      </x:c>
      <x:c r="Q116" s="45" t="s">
        <x:v>115</x:v>
      </x:c>
      <x:c r="R116" s="50" t="s">
        <x:v>697</x:v>
      </x:c>
      <x:c r="S116" s="46"/>
      <x:c r="T116" s="42" t="s">
        <x:v>30</x:v>
      </x:c>
      <x:c r="U116" s="43" t="s">
        <x:v>41</x:v>
      </x:c>
      <x:c r="V116" s="43" t="s">
        <x:v>682</x:v>
      </x:c>
      <x:c r="W116" s="8" t="str">
        <x:f>+VLOOKUP($A116,'TMS- NODE'!$A$6:$N$260,6,0)</x:f>
        <x:v>107.5439279,16.44476256</x:v>
      </x:c>
    </x:row>
    <x:row r="117">
      <x:c r="A117" s="34" t="s">
        <x:v>698</x:v>
      </x:c>
      <x:c r="B117" s="44" t="s">
        <x:v>699</x:v>
      </x:c>
      <x:c r="C117" s="45" t="s">
        <x:v>28</x:v>
      </x:c>
      <x:c r="D117" s="45" t="s">
        <x:v>29</x:v>
      </x:c>
      <x:c r="E117" s="46" t="s">
        <x:v>30</x:v>
      </x:c>
      <x:c r="F117" s="45" t="s">
        <x:v>29</x:v>
      </x:c>
      <x:c r="G117" s="46" t="s">
        <x:v>31</x:v>
      </x:c>
      <x:c r="H117" s="47" t="s">
        <x:v>690</x:v>
      </x:c>
      <x:c r="I117" s="48" t="s">
        <x:v>691</x:v>
      </x:c>
      <x:c r="J117" s="45" t="s">
        <x:v>699</x:v>
      </x:c>
      <x:c r="K117" s="46" t="s">
        <x:v>700</x:v>
      </x:c>
      <x:c r="L117" s="45" t="s">
        <x:v>693</x:v>
      </x:c>
      <x:c r="M117" s="45" t="s">
        <x:v>694</x:v>
      </x:c>
      <x:c r="N117" s="49" t="s">
        <x:v>695</x:v>
      </x:c>
      <x:c r="O117" s="45" t="s">
        <x:v>679</x:v>
      </x:c>
      <x:c r="P117" s="46" t="s">
        <x:v>701</x:v>
      </x:c>
      <x:c r="Q117" s="45" t="s">
        <x:v>115</x:v>
      </x:c>
      <x:c r="R117" s="50" t="s">
        <x:v>702</x:v>
      </x:c>
      <x:c r="S117" s="46"/>
      <x:c r="T117" s="42" t="s">
        <x:v>30</x:v>
      </x:c>
      <x:c r="U117" s="43" t="s">
        <x:v>41</x:v>
      </x:c>
      <x:c r="V117" s="43" t="s">
        <x:v>682</x:v>
      </x:c>
      <x:c r="W117" s="8" t="str">
        <x:f>+VLOOKUP($A117,'TMS- NODE'!$A$6:$N$260,6,0)</x:f>
        <x:v>107.5802111,16.43183885</x:v>
      </x:c>
    </x:row>
    <x:row r="118">
      <x:c r="A118" s="34" t="s">
        <x:v>703</x:v>
      </x:c>
      <x:c r="B118" s="44" t="s">
        <x:v>704</x:v>
      </x:c>
      <x:c r="C118" s="45" t="s">
        <x:v>28</x:v>
      </x:c>
      <x:c r="D118" s="45" t="s">
        <x:v>29</x:v>
      </x:c>
      <x:c r="E118" s="46" t="s">
        <x:v>30</x:v>
      </x:c>
      <x:c r="F118" s="45" t="s">
        <x:v>29</x:v>
      </x:c>
      <x:c r="G118" s="46" t="s">
        <x:v>31</x:v>
      </x:c>
      <x:c r="H118" s="47" t="s">
        <x:v>705</x:v>
      </x:c>
      <x:c r="I118" s="48" t="s">
        <x:v>706</x:v>
      </x:c>
      <x:c r="J118" s="45" t="s">
        <x:v>704</x:v>
      </x:c>
      <x:c r="K118" s="46" t="s">
        <x:v>464</x:v>
      </x:c>
      <x:c r="L118" s="45" t="s">
        <x:v>470</x:v>
      </x:c>
      <x:c r="M118" s="45" t="s">
        <x:v>471</x:v>
      </x:c>
      <x:c r="N118" s="49" t="s">
        <x:v>472</x:v>
      </x:c>
      <x:c r="O118" s="45" t="s">
        <x:v>679</x:v>
      </x:c>
      <x:c r="P118" s="46" t="s">
        <x:v>707</x:v>
      </x:c>
      <x:c r="Q118" s="45" t="s">
        <x:v>115</x:v>
      </x:c>
      <x:c r="R118" s="50" t="s">
        <x:v>708</x:v>
      </x:c>
      <x:c r="S118" s="46"/>
      <x:c r="T118" s="42" t="s">
        <x:v>30</x:v>
      </x:c>
      <x:c r="U118" s="43" t="s">
        <x:v>41</x:v>
      </x:c>
      <x:c r="V118" s="43" t="s">
        <x:v>682</x:v>
      </x:c>
      <x:c r="W118" s="8" t="str">
        <x:f>+VLOOKUP($A118,'TMS- NODE'!$A$6:$N$260,6,0)</x:f>
        <x:v>107.61128,16.45914444</x:v>
      </x:c>
    </x:row>
    <x:row r="119">
      <x:c r="A119" s="34" t="s">
        <x:v>709</x:v>
      </x:c>
      <x:c r="B119" s="44" t="s">
        <x:v>710</x:v>
      </x:c>
      <x:c r="C119" s="45" t="s">
        <x:v>28</x:v>
      </x:c>
      <x:c r="D119" s="45" t="s">
        <x:v>29</x:v>
      </x:c>
      <x:c r="E119" s="46" t="s">
        <x:v>30</x:v>
      </x:c>
      <x:c r="F119" s="45" t="s">
        <x:v>29</x:v>
      </x:c>
      <x:c r="G119" s="46" t="s">
        <x:v>31</x:v>
      </x:c>
      <x:c r="H119" s="47" t="s">
        <x:v>120</x:v>
      </x:c>
      <x:c r="I119" s="48" t="s">
        <x:v>121</x:v>
      </x:c>
      <x:c r="J119" s="45" t="s">
        <x:v>710</x:v>
      </x:c>
      <x:c r="K119" s="46" t="s">
        <x:v>711</x:v>
      </x:c>
      <x:c r="L119" s="45" t="s">
        <x:v>123</x:v>
      </x:c>
      <x:c r="M119" s="45" t="s">
        <x:v>124</x:v>
      </x:c>
      <x:c r="N119" s="49" t="s">
        <x:v>125</x:v>
      </x:c>
      <x:c r="O119" s="45" t="s">
        <x:v>679</x:v>
      </x:c>
      <x:c r="P119" s="46" t="s">
        <x:v>712</x:v>
      </x:c>
      <x:c r="Q119" s="45" t="s">
        <x:v>115</x:v>
      </x:c>
      <x:c r="R119" s="50" t="s">
        <x:v>713</x:v>
      </x:c>
      <x:c r="S119" s="46"/>
      <x:c r="T119" s="42" t="s">
        <x:v>30</x:v>
      </x:c>
      <x:c r="U119" s="43" t="s">
        <x:v>41</x:v>
      </x:c>
      <x:c r="V119" s="43" t="s">
        <x:v>682</x:v>
      </x:c>
      <x:c r="W119" s="8" t="str">
        <x:f>+VLOOKUP($A119,'TMS- NODE'!$A$6:$N$260,6,0)</x:f>
        <x:v>107.5199895,16.57390577</x:v>
      </x:c>
    </x:row>
    <x:row r="120">
      <x:c r="A120" s="34" t="s">
        <x:v>714</x:v>
      </x:c>
      <x:c r="B120" s="44" t="s">
        <x:v>715</x:v>
      </x:c>
      <x:c r="C120" s="45" t="s">
        <x:v>28</x:v>
      </x:c>
      <x:c r="D120" s="45" t="s">
        <x:v>29</x:v>
      </x:c>
      <x:c r="E120" s="46" t="s">
        <x:v>30</x:v>
      </x:c>
      <x:c r="F120" s="45" t="s">
        <x:v>29</x:v>
      </x:c>
      <x:c r="G120" s="46" t="s">
        <x:v>31</x:v>
      </x:c>
      <x:c r="H120" s="47" t="s">
        <x:v>238</x:v>
      </x:c>
      <x:c r="I120" s="48" t="s">
        <x:v>239</x:v>
      </x:c>
      <x:c r="J120" s="45" t="s">
        <x:v>715</x:v>
      </x:c>
      <x:c r="K120" s="46" t="s">
        <x:v>716</x:v>
      </x:c>
      <x:c r="L120" s="45" t="s">
        <x:v>35</x:v>
      </x:c>
      <x:c r="M120" s="45" t="s">
        <x:v>36</x:v>
      </x:c>
      <x:c r="N120" s="49" t="s">
        <x:v>37</x:v>
      </x:c>
      <x:c r="O120" s="45" t="s">
        <x:v>679</x:v>
      </x:c>
      <x:c r="P120" s="46" t="s">
        <x:v>39</x:v>
      </x:c>
      <x:c r="Q120" s="45" t="s">
        <x:v>115</x:v>
      </x:c>
      <x:c r="R120" s="50" t="s">
        <x:v>717</x:v>
      </x:c>
      <x:c r="S120" s="46"/>
      <x:c r="T120" s="42" t="s">
        <x:v>30</x:v>
      </x:c>
      <x:c r="U120" s="43" t="s">
        <x:v>41</x:v>
      </x:c>
      <x:c r="V120" s="43" t="s">
        <x:v>682</x:v>
      </x:c>
      <x:c r="W120" s="8" t="str">
        <x:f>+VLOOKUP($A120,'TMS- NODE'!$A$6:$N$260,6,0)</x:f>
        <x:v>107.507654,16.63247699</x:v>
      </x:c>
    </x:row>
    <x:row r="121">
      <x:c r="A121" s="34" t="s">
        <x:v>718</x:v>
      </x:c>
      <x:c r="B121" s="44" t="s">
        <x:v>719</x:v>
      </x:c>
      <x:c r="C121" s="45" t="s">
        <x:v>28</x:v>
      </x:c>
      <x:c r="D121" s="45" t="s">
        <x:v>29</x:v>
      </x:c>
      <x:c r="E121" s="46" t="s">
        <x:v>30</x:v>
      </x:c>
      <x:c r="F121" s="45" t="s">
        <x:v>29</x:v>
      </x:c>
      <x:c r="G121" s="46" t="s">
        <x:v>31</x:v>
      </x:c>
      <x:c r="H121" s="47" t="s">
        <x:v>720</x:v>
      </x:c>
      <x:c r="I121" s="48" t="s">
        <x:v>721</x:v>
      </x:c>
      <x:c r="J121" s="45" t="s">
        <x:v>719</x:v>
      </x:c>
      <x:c r="K121" s="46" t="s">
        <x:v>722</x:v>
      </x:c>
      <x:c r="L121" s="45" t="s">
        <x:v>723</x:v>
      </x:c>
      <x:c r="M121" s="45" t="s">
        <x:v>724</x:v>
      </x:c>
      <x:c r="N121" s="49" t="s">
        <x:v>725</x:v>
      </x:c>
      <x:c r="O121" s="45" t="s">
        <x:v>679</x:v>
      </x:c>
      <x:c r="P121" s="46" t="s">
        <x:v>726</x:v>
      </x:c>
      <x:c r="Q121" s="45" t="s">
        <x:v>115</x:v>
      </x:c>
      <x:c r="R121" s="50" t="s">
        <x:v>727</x:v>
      </x:c>
      <x:c r="S121" s="46"/>
      <x:c r="T121" s="42" t="s">
        <x:v>30</x:v>
      </x:c>
      <x:c r="U121" s="43" t="s">
        <x:v>41</x:v>
      </x:c>
      <x:c r="V121" s="43" t="s">
        <x:v>682</x:v>
      </x:c>
      <x:c r="W121" s="8" t="str">
        <x:f>+VLOOKUP($A121,'TMS- NODE'!$A$6:$N$260,6,0)</x:f>
        <x:v>107.496559,16.59625599</x:v>
      </x:c>
    </x:row>
    <x:row r="122">
      <x:c r="A122" s="34" t="s">
        <x:v>728</x:v>
      </x:c>
      <x:c r="B122" s="44" t="s">
        <x:v>729</x:v>
      </x:c>
      <x:c r="C122" s="45" t="s">
        <x:v>28</x:v>
      </x:c>
      <x:c r="D122" s="45" t="s">
        <x:v>29</x:v>
      </x:c>
      <x:c r="E122" s="46" t="s">
        <x:v>30</x:v>
      </x:c>
      <x:c r="F122" s="45" t="s">
        <x:v>29</x:v>
      </x:c>
      <x:c r="G122" s="46" t="s">
        <x:v>31</x:v>
      </x:c>
      <x:c r="H122" s="47" t="s">
        <x:v>720</x:v>
      </x:c>
      <x:c r="I122" s="48" t="s">
        <x:v>721</x:v>
      </x:c>
      <x:c r="J122" s="45" t="s">
        <x:v>729</x:v>
      </x:c>
      <x:c r="K122" s="46" t="s">
        <x:v>730</x:v>
      </x:c>
      <x:c r="L122" s="45" t="s">
        <x:v>723</x:v>
      </x:c>
      <x:c r="M122" s="45" t="s">
        <x:v>724</x:v>
      </x:c>
      <x:c r="N122" s="49" t="s">
        <x:v>725</x:v>
      </x:c>
      <x:c r="O122" s="45" t="s">
        <x:v>679</x:v>
      </x:c>
      <x:c r="P122" s="46" t="s">
        <x:v>731</x:v>
      </x:c>
      <x:c r="Q122" s="45" t="s">
        <x:v>115</x:v>
      </x:c>
      <x:c r="R122" s="50" t="s">
        <x:v>732</x:v>
      </x:c>
      <x:c r="S122" s="46"/>
      <x:c r="T122" s="42" t="s">
        <x:v>30</x:v>
      </x:c>
      <x:c r="U122" s="43" t="s">
        <x:v>41</x:v>
      </x:c>
      <x:c r="V122" s="43" t="s">
        <x:v>682</x:v>
      </x:c>
      <x:c r="W122" s="8" t="str">
        <x:f>+VLOOKUP($A122,'TMS- NODE'!$A$6:$N$260,6,0)</x:f>
        <x:v>107.431635,16.629255</x:v>
      </x:c>
    </x:row>
    <x:row r="123">
      <x:c r="A123" s="34" t="s">
        <x:v>733</x:v>
      </x:c>
      <x:c r="B123" s="44" t="s">
        <x:v>734</x:v>
      </x:c>
      <x:c r="C123" s="45" t="s">
        <x:v>28</x:v>
      </x:c>
      <x:c r="D123" s="45" t="s">
        <x:v>29</x:v>
      </x:c>
      <x:c r="E123" s="46" t="s">
        <x:v>30</x:v>
      </x:c>
      <x:c r="F123" s="45" t="s">
        <x:v>29</x:v>
      </x:c>
      <x:c r="G123" s="46" t="s">
        <x:v>31</x:v>
      </x:c>
      <x:c r="H123" s="47" t="s">
        <x:v>720</x:v>
      </x:c>
      <x:c r="I123" s="48" t="s">
        <x:v>721</x:v>
      </x:c>
      <x:c r="J123" s="45" t="s">
        <x:v>734</x:v>
      </x:c>
      <x:c r="K123" s="46" t="s">
        <x:v>735</x:v>
      </x:c>
      <x:c r="L123" s="45" t="s">
        <x:v>723</x:v>
      </x:c>
      <x:c r="M123" s="45" t="s">
        <x:v>724</x:v>
      </x:c>
      <x:c r="N123" s="49" t="s">
        <x:v>725</x:v>
      </x:c>
      <x:c r="O123" s="45" t="s">
        <x:v>679</x:v>
      </x:c>
      <x:c r="P123" s="46" t="s">
        <x:v>736</x:v>
      </x:c>
      <x:c r="Q123" s="45" t="s">
        <x:v>115</x:v>
      </x:c>
      <x:c r="R123" s="50" t="s">
        <x:v>737</x:v>
      </x:c>
      <x:c r="S123" s="46"/>
      <x:c r="T123" s="42" t="s">
        <x:v>30</x:v>
      </x:c>
      <x:c r="U123" s="43" t="s">
        <x:v>41</x:v>
      </x:c>
      <x:c r="V123" s="43" t="s">
        <x:v>682</x:v>
      </x:c>
      <x:c r="W123" s="8" t="str">
        <x:f>+VLOOKUP($A123,'TMS- NODE'!$A$6:$N$260,6,0)</x:f>
        <x:v>107.4967295,16.56064421</x:v>
      </x:c>
    </x:row>
    <x:row r="124">
      <x:c r="A124" s="34" t="s">
        <x:v>738</x:v>
      </x:c>
      <x:c r="B124" s="44" t="s">
        <x:v>739</x:v>
      </x:c>
      <x:c r="C124" s="45" t="s">
        <x:v>28</x:v>
      </x:c>
      <x:c r="D124" s="45" t="s">
        <x:v>29</x:v>
      </x:c>
      <x:c r="E124" s="46" t="s">
        <x:v>30</x:v>
      </x:c>
      <x:c r="F124" s="45" t="s">
        <x:v>29</x:v>
      </x:c>
      <x:c r="G124" s="46" t="s">
        <x:v>31</x:v>
      </x:c>
      <x:c r="H124" s="47" t="s">
        <x:v>720</x:v>
      </x:c>
      <x:c r="I124" s="48" t="s">
        <x:v>721</x:v>
      </x:c>
      <x:c r="J124" s="45" t="s">
        <x:v>739</x:v>
      </x:c>
      <x:c r="K124" s="46" t="s">
        <x:v>740</x:v>
      </x:c>
      <x:c r="L124" s="45" t="s">
        <x:v>723</x:v>
      </x:c>
      <x:c r="M124" s="45" t="s">
        <x:v>724</x:v>
      </x:c>
      <x:c r="N124" s="49" t="s">
        <x:v>725</x:v>
      </x:c>
      <x:c r="O124" s="45" t="s">
        <x:v>679</x:v>
      </x:c>
      <x:c r="P124" s="46" t="s">
        <x:v>741</x:v>
      </x:c>
      <x:c r="Q124" s="45" t="s">
        <x:v>115</x:v>
      </x:c>
      <x:c r="R124" s="50" t="s">
        <x:v>742</x:v>
      </x:c>
      <x:c r="S124" s="46"/>
      <x:c r="T124" s="42" t="s">
        <x:v>30</x:v>
      </x:c>
      <x:c r="U124" s="43" t="s">
        <x:v>41</x:v>
      </x:c>
      <x:c r="V124" s="43" t="s">
        <x:v>682</x:v>
      </x:c>
      <x:c r="W124" s="8" t="str">
        <x:f>+VLOOKUP($A124,'TMS- NODE'!$A$6:$N$260,6,0)</x:f>
        <x:v>107.4936113,16.5275942</x:v>
      </x:c>
    </x:row>
    <x:row r="125">
      <x:c r="A125" s="34" t="s">
        <x:v>743</x:v>
      </x:c>
      <x:c r="B125" s="44" t="s">
        <x:v>744</x:v>
      </x:c>
      <x:c r="C125" s="45" t="s">
        <x:v>28</x:v>
      </x:c>
      <x:c r="D125" s="45" t="s">
        <x:v>29</x:v>
      </x:c>
      <x:c r="E125" s="46" t="s">
        <x:v>30</x:v>
      </x:c>
      <x:c r="F125" s="45" t="s">
        <x:v>29</x:v>
      </x:c>
      <x:c r="G125" s="46" t="s">
        <x:v>31</x:v>
      </x:c>
      <x:c r="H125" s="47" t="s">
        <x:v>120</x:v>
      </x:c>
      <x:c r="I125" s="48" t="s">
        <x:v>121</x:v>
      </x:c>
      <x:c r="J125" s="45" t="s">
        <x:v>744</x:v>
      </x:c>
      <x:c r="K125" s="46" t="s">
        <x:v>745</x:v>
      </x:c>
      <x:c r="L125" s="45" t="s">
        <x:v>123</x:v>
      </x:c>
      <x:c r="M125" s="45" t="s">
        <x:v>124</x:v>
      </x:c>
      <x:c r="N125" s="49" t="s">
        <x:v>125</x:v>
      </x:c>
      <x:c r="O125" s="45" t="s">
        <x:v>679</x:v>
      </x:c>
      <x:c r="P125" s="46" t="s">
        <x:v>746</x:v>
      </x:c>
      <x:c r="Q125" s="45" t="s">
        <x:v>115</x:v>
      </x:c>
      <x:c r="R125" s="50" t="s">
        <x:v>747</x:v>
      </x:c>
      <x:c r="S125" s="46"/>
      <x:c r="T125" s="42" t="s">
        <x:v>30</x:v>
      </x:c>
      <x:c r="U125" s="43" t="s">
        <x:v>41</x:v>
      </x:c>
      <x:c r="V125" s="43" t="s">
        <x:v>682</x:v>
      </x:c>
      <x:c r="W125" s="8" t="str">
        <x:f>+VLOOKUP($A125,'TMS- NODE'!$A$6:$N$260,6,0)</x:f>
        <x:v>107.5259188,16.54026793</x:v>
      </x:c>
    </x:row>
    <x:row r="126">
      <x:c r="A126" s="34" t="s">
        <x:v>748</x:v>
      </x:c>
      <x:c r="B126" s="44" t="s">
        <x:v>749</x:v>
      </x:c>
      <x:c r="C126" s="45" t="s">
        <x:v>28</x:v>
      </x:c>
      <x:c r="D126" s="45" t="s">
        <x:v>29</x:v>
      </x:c>
      <x:c r="E126" s="46" t="s">
        <x:v>30</x:v>
      </x:c>
      <x:c r="F126" s="45" t="s">
        <x:v>29</x:v>
      </x:c>
      <x:c r="G126" s="46" t="s">
        <x:v>31</x:v>
      </x:c>
      <x:c r="H126" s="47" t="s">
        <x:v>120</x:v>
      </x:c>
      <x:c r="I126" s="48" t="s">
        <x:v>121</x:v>
      </x:c>
      <x:c r="J126" s="45" t="s">
        <x:v>749</x:v>
      </x:c>
      <x:c r="K126" s="46" t="s">
        <x:v>750</x:v>
      </x:c>
      <x:c r="L126" s="45" t="s">
        <x:v>123</x:v>
      </x:c>
      <x:c r="M126" s="45" t="s">
        <x:v>124</x:v>
      </x:c>
      <x:c r="N126" s="49" t="s">
        <x:v>125</x:v>
      </x:c>
      <x:c r="O126" s="45" t="s">
        <x:v>679</x:v>
      </x:c>
      <x:c r="P126" s="46" t="s">
        <x:v>751</x:v>
      </x:c>
      <x:c r="Q126" s="45" t="s">
        <x:v>115</x:v>
      </x:c>
      <x:c r="R126" s="50" t="s">
        <x:v>752</x:v>
      </x:c>
      <x:c r="S126" s="46"/>
      <x:c r="T126" s="42" t="s">
        <x:v>30</x:v>
      </x:c>
      <x:c r="U126" s="43" t="s">
        <x:v>41</x:v>
      </x:c>
      <x:c r="V126" s="43" t="s">
        <x:v>682</x:v>
      </x:c>
      <x:c r="W126" s="8" t="str">
        <x:f>+VLOOKUP($A126,'TMS- NODE'!$A$6:$N$260,6,0)</x:f>
        <x:v>107.5483666,16.5475723</x:v>
      </x:c>
    </x:row>
    <x:row r="127">
      <x:c r="A127" s="34" t="s">
        <x:v>753</x:v>
      </x:c>
      <x:c r="B127" s="44" t="s">
        <x:v>754</x:v>
      </x:c>
      <x:c r="C127" s="45" t="s">
        <x:v>28</x:v>
      </x:c>
      <x:c r="D127" s="45" t="s">
        <x:v>29</x:v>
      </x:c>
      <x:c r="E127" s="46" t="s">
        <x:v>30</x:v>
      </x:c>
      <x:c r="F127" s="45" t="s">
        <x:v>29</x:v>
      </x:c>
      <x:c r="G127" s="46" t="s">
        <x:v>31</x:v>
      </x:c>
      <x:c r="H127" s="47" t="s">
        <x:v>755</x:v>
      </x:c>
      <x:c r="I127" s="48" t="s">
        <x:v>756</x:v>
      </x:c>
      <x:c r="J127" s="45" t="s">
        <x:v>754</x:v>
      </x:c>
      <x:c r="K127" s="46" t="s">
        <x:v>477</x:v>
      </x:c>
      <x:c r="L127" s="45" t="s">
        <x:v>757</x:v>
      </x:c>
      <x:c r="M127" s="45" t="s">
        <x:v>758</x:v>
      </x:c>
      <x:c r="N127" s="49" t="s">
        <x:v>759</x:v>
      </x:c>
      <x:c r="O127" s="45" t="s">
        <x:v>679</x:v>
      </x:c>
      <x:c r="P127" s="46" t="s">
        <x:v>760</x:v>
      </x:c>
      <x:c r="Q127" s="45" t="s">
        <x:v>115</x:v>
      </x:c>
      <x:c r="R127" s="50" t="s">
        <x:v>761</x:v>
      </x:c>
      <x:c r="S127" s="46"/>
      <x:c r="T127" s="42" t="s">
        <x:v>30</x:v>
      </x:c>
      <x:c r="U127" s="43" t="s">
        <x:v>41</x:v>
      </x:c>
      <x:c r="V127" s="43" t="s">
        <x:v>682</x:v>
      </x:c>
      <x:c r="W127" s="8" t="str">
        <x:f>+VLOOKUP($A127,'TMS- NODE'!$A$6:$N$260,6,0)</x:f>
        <x:v>107.56927,16.54118379</x:v>
      </x:c>
    </x:row>
    <x:row r="128">
      <x:c r="A128" s="34" t="s">
        <x:v>762</x:v>
      </x:c>
      <x:c r="B128" s="44" t="s">
        <x:v>763</x:v>
      </x:c>
      <x:c r="C128" s="45" t="s">
        <x:v>28</x:v>
      </x:c>
      <x:c r="D128" s="45" t="s">
        <x:v>29</x:v>
      </x:c>
      <x:c r="E128" s="46" t="s">
        <x:v>30</x:v>
      </x:c>
      <x:c r="F128" s="45" t="s">
        <x:v>29</x:v>
      </x:c>
      <x:c r="G128" s="46" t="s">
        <x:v>31</x:v>
      </x:c>
      <x:c r="H128" s="47" t="s">
        <x:v>260</x:v>
      </x:c>
      <x:c r="I128" s="48" t="s">
        <x:v>261</x:v>
      </x:c>
      <x:c r="J128" s="45" t="s">
        <x:v>763</x:v>
      </x:c>
      <x:c r="K128" s="46" t="s">
        <x:v>764</x:v>
      </x:c>
      <x:c r="L128" s="45" t="s">
        <x:v>263</x:v>
      </x:c>
      <x:c r="M128" s="45" t="s">
        <x:v>264</x:v>
      </x:c>
      <x:c r="N128" s="49" t="s">
        <x:v>265</x:v>
      </x:c>
      <x:c r="O128" s="45" t="s">
        <x:v>679</x:v>
      </x:c>
      <x:c r="P128" s="46" t="s">
        <x:v>765</x:v>
      </x:c>
      <x:c r="Q128" s="45" t="s">
        <x:v>115</x:v>
      </x:c>
      <x:c r="R128" s="50" t="s">
        <x:v>766</x:v>
      </x:c>
      <x:c r="S128" s="46"/>
      <x:c r="T128" s="42" t="s">
        <x:v>30</x:v>
      </x:c>
      <x:c r="U128" s="43" t="s">
        <x:v>41</x:v>
      </x:c>
      <x:c r="V128" s="43" t="s">
        <x:v>682</x:v>
      </x:c>
      <x:c r="W128" s="8" t="str">
        <x:f>+VLOOKUP($A128,'TMS- NODE'!$A$6:$N$260,6,0)</x:f>
        <x:v>107.453248,16.5547335</x:v>
      </x:c>
    </x:row>
    <x:row r="129">
      <x:c r="A129" s="34" t="s">
        <x:v>767</x:v>
      </x:c>
      <x:c r="B129" s="44" t="s">
        <x:v>768</x:v>
      </x:c>
      <x:c r="C129" s="45" t="s">
        <x:v>28</x:v>
      </x:c>
      <x:c r="D129" s="45" t="s">
        <x:v>29</x:v>
      </x:c>
      <x:c r="E129" s="46" t="s">
        <x:v>30</x:v>
      </x:c>
      <x:c r="F129" s="45" t="s">
        <x:v>29</x:v>
      </x:c>
      <x:c r="G129" s="46" t="s">
        <x:v>31</x:v>
      </x:c>
      <x:c r="H129" s="47" t="s">
        <x:v>769</x:v>
      </x:c>
      <x:c r="I129" s="48" t="s">
        <x:v>770</x:v>
      </x:c>
      <x:c r="J129" s="45" t="s">
        <x:v>768</x:v>
      </x:c>
      <x:c r="K129" s="46" t="s">
        <x:v>771</x:v>
      </x:c>
      <x:c r="L129" s="45" t="s">
        <x:v>772</x:v>
      </x:c>
      <x:c r="M129" s="45" t="s">
        <x:v>773</x:v>
      </x:c>
      <x:c r="N129" s="49" t="s">
        <x:v>774</x:v>
      </x:c>
      <x:c r="O129" s="45" t="s">
        <x:v>679</x:v>
      </x:c>
      <x:c r="P129" s="46" t="s">
        <x:v>775</x:v>
      </x:c>
      <x:c r="Q129" s="45" t="s">
        <x:v>115</x:v>
      </x:c>
      <x:c r="R129" s="50" t="s">
        <x:v>776</x:v>
      </x:c>
      <x:c r="S129" s="46"/>
      <x:c r="T129" s="42" t="s">
        <x:v>30</x:v>
      </x:c>
      <x:c r="U129" s="43" t="s">
        <x:v>41</x:v>
      </x:c>
      <x:c r="V129" s="43" t="s">
        <x:v>682</x:v>
      </x:c>
      <x:c r="W129" s="8" t="str">
        <x:f>+VLOOKUP($A129,'TMS- NODE'!$A$6:$N$260,6,0)</x:f>
        <x:v>107.3828951,16.66081772</x:v>
      </x:c>
    </x:row>
    <x:row r="130">
      <x:c r="A130" s="34" t="s">
        <x:v>777</x:v>
      </x:c>
      <x:c r="B130" s="44" t="s">
        <x:v>778</x:v>
      </x:c>
      <x:c r="C130" s="45" t="s">
        <x:v>28</x:v>
      </x:c>
      <x:c r="D130" s="45" t="s">
        <x:v>29</x:v>
      </x:c>
      <x:c r="E130" s="46" t="s">
        <x:v>30</x:v>
      </x:c>
      <x:c r="F130" s="45" t="s">
        <x:v>29</x:v>
      </x:c>
      <x:c r="G130" s="46" t="s">
        <x:v>31</x:v>
      </x:c>
      <x:c r="H130" s="47" t="s">
        <x:v>245</x:v>
      </x:c>
      <x:c r="I130" s="48" t="s">
        <x:v>246</x:v>
      </x:c>
      <x:c r="J130" s="45" t="s">
        <x:v>778</x:v>
      </x:c>
      <x:c r="K130" s="46" t="s">
        <x:v>779</x:v>
      </x:c>
      <x:c r="L130" s="45" t="s">
        <x:v>248</x:v>
      </x:c>
      <x:c r="M130" s="45" t="s">
        <x:v>249</x:v>
      </x:c>
      <x:c r="N130" s="49" t="s">
        <x:v>250</x:v>
      </x:c>
      <x:c r="O130" s="45" t="s">
        <x:v>679</x:v>
      </x:c>
      <x:c r="P130" s="46" t="s">
        <x:v>780</x:v>
      </x:c>
      <x:c r="Q130" s="45" t="s">
        <x:v>115</x:v>
      </x:c>
      <x:c r="R130" s="50" t="s">
        <x:v>781</x:v>
      </x:c>
      <x:c r="S130" s="46"/>
      <x:c r="T130" s="42" t="s">
        <x:v>30</x:v>
      </x:c>
      <x:c r="U130" s="43" t="s">
        <x:v>41</x:v>
      </x:c>
      <x:c r="V130" s="43" t="s">
        <x:v>682</x:v>
      </x:c>
      <x:c r="W130" s="8" t="str">
        <x:f>+VLOOKUP($A130,'TMS- NODE'!$A$6:$N$260,6,0)</x:f>
        <x:v>107.412976,16.68279703</x:v>
      </x:c>
    </x:row>
    <x:row r="131">
      <x:c r="A131" s="34" t="s">
        <x:v>782</x:v>
      </x:c>
      <x:c r="B131" s="44" t="s">
        <x:v>783</x:v>
      </x:c>
      <x:c r="C131" s="45" t="s">
        <x:v>28</x:v>
      </x:c>
      <x:c r="D131" s="45" t="s">
        <x:v>29</x:v>
      </x:c>
      <x:c r="E131" s="46" t="s">
        <x:v>30</x:v>
      </x:c>
      <x:c r="F131" s="45" t="s">
        <x:v>29</x:v>
      </x:c>
      <x:c r="G131" s="46" t="s">
        <x:v>31</x:v>
      </x:c>
      <x:c r="H131" s="47" t="s">
        <x:v>238</x:v>
      </x:c>
      <x:c r="I131" s="48" t="s">
        <x:v>239</x:v>
      </x:c>
      <x:c r="J131" s="45" t="s">
        <x:v>783</x:v>
      </x:c>
      <x:c r="K131" s="46" t="s">
        <x:v>34</x:v>
      </x:c>
      <x:c r="L131" s="45" t="s">
        <x:v>35</x:v>
      </x:c>
      <x:c r="M131" s="45" t="s">
        <x:v>36</x:v>
      </x:c>
      <x:c r="N131" s="49" t="s">
        <x:v>37</x:v>
      </x:c>
      <x:c r="O131" s="45" t="s">
        <x:v>679</x:v>
      </x:c>
      <x:c r="P131" s="46" t="s">
        <x:v>784</x:v>
      </x:c>
      <x:c r="Q131" s="45" t="s">
        <x:v>115</x:v>
      </x:c>
      <x:c r="R131" s="50" t="s">
        <x:v>785</x:v>
      </x:c>
      <x:c r="S131" s="46"/>
      <x:c r="T131" s="42" t="s">
        <x:v>30</x:v>
      </x:c>
      <x:c r="U131" s="43" t="s">
        <x:v>41</x:v>
      </x:c>
      <x:c r="V131" s="43" t="s">
        <x:v>682</x:v>
      </x:c>
      <x:c r="W131" s="8" t="str">
        <x:f>+VLOOKUP($A131,'TMS- NODE'!$A$6:$N$260,6,0)</x:f>
        <x:v>107.4732064,16.65317456</x:v>
      </x:c>
    </x:row>
    <x:row r="132">
      <x:c r="A132" s="34" t="s">
        <x:v>786</x:v>
      </x:c>
      <x:c r="B132" s="44" t="s">
        <x:v>787</x:v>
      </x:c>
      <x:c r="C132" s="45" t="s">
        <x:v>28</x:v>
      </x:c>
      <x:c r="D132" s="45" t="s">
        <x:v>29</x:v>
      </x:c>
      <x:c r="E132" s="46" t="s">
        <x:v>30</x:v>
      </x:c>
      <x:c r="F132" s="45" t="s">
        <x:v>29</x:v>
      </x:c>
      <x:c r="G132" s="46" t="s">
        <x:v>31</x:v>
      </x:c>
      <x:c r="H132" s="47" t="s">
        <x:v>238</x:v>
      </x:c>
      <x:c r="I132" s="48" t="s">
        <x:v>239</x:v>
      </x:c>
      <x:c r="J132" s="45" t="s">
        <x:v>787</x:v>
      </x:c>
      <x:c r="K132" s="46" t="s">
        <x:v>788</x:v>
      </x:c>
      <x:c r="L132" s="45" t="s">
        <x:v>35</x:v>
      </x:c>
      <x:c r="M132" s="45" t="s">
        <x:v>36</x:v>
      </x:c>
      <x:c r="N132" s="49" t="s">
        <x:v>37</x:v>
      </x:c>
      <x:c r="O132" s="45" t="s">
        <x:v>679</x:v>
      </x:c>
      <x:c r="P132" s="46" t="s">
        <x:v>789</x:v>
      </x:c>
      <x:c r="Q132" s="45" t="s">
        <x:v>115</x:v>
      </x:c>
      <x:c r="R132" s="50" t="s">
        <x:v>790</x:v>
      </x:c>
      <x:c r="S132" s="46"/>
      <x:c r="T132" s="42" t="s">
        <x:v>30</x:v>
      </x:c>
      <x:c r="U132" s="43" t="s">
        <x:v>41</x:v>
      </x:c>
      <x:c r="V132" s="43" t="s">
        <x:v>682</x:v>
      </x:c>
      <x:c r="W132" s="8" t="str">
        <x:f>+VLOOKUP($A132,'TMS- NODE'!$A$6:$N$260,6,0)</x:f>
        <x:v>107.4766204,16.6689626</x:v>
      </x:c>
    </x:row>
    <x:row r="133">
      <x:c r="A133" s="34" t="s">
        <x:v>791</x:v>
      </x:c>
      <x:c r="B133" s="44" t="s">
        <x:v>792</x:v>
      </x:c>
      <x:c r="C133" s="45" t="s">
        <x:v>28</x:v>
      </x:c>
      <x:c r="D133" s="45" t="s">
        <x:v>29</x:v>
      </x:c>
      <x:c r="E133" s="46" t="s">
        <x:v>30</x:v>
      </x:c>
      <x:c r="F133" s="45" t="s">
        <x:v>29</x:v>
      </x:c>
      <x:c r="G133" s="46" t="s">
        <x:v>31</x:v>
      </x:c>
      <x:c r="H133" s="47" t="s">
        <x:v>245</x:v>
      </x:c>
      <x:c r="I133" s="48" t="s">
        <x:v>246</x:v>
      </x:c>
      <x:c r="J133" s="45" t="s">
        <x:v>792</x:v>
      </x:c>
      <x:c r="K133" s="46" t="s">
        <x:v>793</x:v>
      </x:c>
      <x:c r="L133" s="45" t="s">
        <x:v>248</x:v>
      </x:c>
      <x:c r="M133" s="45" t="s">
        <x:v>249</x:v>
      </x:c>
      <x:c r="N133" s="49" t="s">
        <x:v>250</x:v>
      </x:c>
      <x:c r="O133" s="45" t="s">
        <x:v>679</x:v>
      </x:c>
      <x:c r="P133" s="46" t="s">
        <x:v>794</x:v>
      </x:c>
      <x:c r="Q133" s="45" t="s">
        <x:v>115</x:v>
      </x:c>
      <x:c r="R133" s="50" t="s">
        <x:v>795</x:v>
      </x:c>
      <x:c r="S133" s="46"/>
      <x:c r="T133" s="42" t="s">
        <x:v>30</x:v>
      </x:c>
      <x:c r="U133" s="43" t="s">
        <x:v>41</x:v>
      </x:c>
      <x:c r="V133" s="43" t="s">
        <x:v>682</x:v>
      </x:c>
      <x:c r="W133" s="8" t="str">
        <x:f>+VLOOKUP($A133,'TMS- NODE'!$A$6:$N$260,6,0)</x:f>
        <x:v>107.3901926,16.69314093</x:v>
      </x:c>
    </x:row>
    <x:row r="134">
      <x:c r="A134" s="34" t="s">
        <x:v>796</x:v>
      </x:c>
      <x:c r="B134" s="44" t="s">
        <x:v>797</x:v>
      </x:c>
      <x:c r="C134" s="45" t="s">
        <x:v>28</x:v>
      </x:c>
      <x:c r="D134" s="45" t="s">
        <x:v>29</x:v>
      </x:c>
      <x:c r="E134" s="46" t="s">
        <x:v>30</x:v>
      </x:c>
      <x:c r="F134" s="45" t="s">
        <x:v>29</x:v>
      </x:c>
      <x:c r="G134" s="46" t="s">
        <x:v>31</x:v>
      </x:c>
      <x:c r="H134" s="47" t="s">
        <x:v>32</x:v>
      </x:c>
      <x:c r="I134" s="48" t="s">
        <x:v>33</x:v>
      </x:c>
      <x:c r="J134" s="45" t="s">
        <x:v>797</x:v>
      </x:c>
      <x:c r="K134" s="46" t="s">
        <x:v>798</x:v>
      </x:c>
      <x:c r="L134" s="45" t="s">
        <x:v>131</x:v>
      </x:c>
      <x:c r="M134" s="45" t="s">
        <x:v>132</x:v>
      </x:c>
      <x:c r="N134" s="49" t="s">
        <x:v>133</x:v>
      </x:c>
      <x:c r="O134" s="45" t="s">
        <x:v>679</x:v>
      </x:c>
      <x:c r="P134" s="46" t="s">
        <x:v>799</x:v>
      </x:c>
      <x:c r="Q134" s="45" t="s">
        <x:v>115</x:v>
      </x:c>
      <x:c r="R134" s="50" t="s">
        <x:v>800</x:v>
      </x:c>
      <x:c r="S134" s="46"/>
      <x:c r="T134" s="42" t="s">
        <x:v>30</x:v>
      </x:c>
      <x:c r="U134" s="43" t="s">
        <x:v>41</x:v>
      </x:c>
      <x:c r="V134" s="43" t="s">
        <x:v>682</x:v>
      </x:c>
      <x:c r="W134" s="8" t="str">
        <x:f>+VLOOKUP($A134,'TMS- NODE'!$A$6:$N$260,6,0)</x:f>
        <x:v>107.3515454,16.58701251</x:v>
      </x:c>
    </x:row>
    <x:row r="135">
      <x:c r="A135" s="34" t="s">
        <x:v>801</x:v>
      </x:c>
      <x:c r="B135" s="44" t="s">
        <x:v>802</x:v>
      </x:c>
      <x:c r="C135" s="45" t="s">
        <x:v>28</x:v>
      </x:c>
      <x:c r="D135" s="45" t="s">
        <x:v>29</x:v>
      </x:c>
      <x:c r="E135" s="46" t="s">
        <x:v>30</x:v>
      </x:c>
      <x:c r="F135" s="45" t="s">
        <x:v>29</x:v>
      </x:c>
      <x:c r="G135" s="46" t="s">
        <x:v>31</x:v>
      </x:c>
      <x:c r="H135" s="47" t="s">
        <x:v>769</x:v>
      </x:c>
      <x:c r="I135" s="48" t="s">
        <x:v>770</x:v>
      </x:c>
      <x:c r="J135" s="45" t="s">
        <x:v>802</x:v>
      </x:c>
      <x:c r="K135" s="46" t="s">
        <x:v>803</x:v>
      </x:c>
      <x:c r="L135" s="45" t="s">
        <x:v>772</x:v>
      </x:c>
      <x:c r="M135" s="45" t="s">
        <x:v>773</x:v>
      </x:c>
      <x:c r="N135" s="49" t="s">
        <x:v>774</x:v>
      </x:c>
      <x:c r="O135" s="45" t="s">
        <x:v>679</x:v>
      </x:c>
      <x:c r="P135" s="46" t="s">
        <x:v>804</x:v>
      </x:c>
      <x:c r="Q135" s="45" t="s">
        <x:v>115</x:v>
      </x:c>
      <x:c r="R135" s="50" t="s">
        <x:v>805</x:v>
      </x:c>
      <x:c r="S135" s="46"/>
      <x:c r="T135" s="42" t="s">
        <x:v>30</x:v>
      </x:c>
      <x:c r="U135" s="43" t="s">
        <x:v>41</x:v>
      </x:c>
      <x:c r="V135" s="43" t="s">
        <x:v>682</x:v>
      </x:c>
      <x:c r="W135" s="8" t="str">
        <x:f>+VLOOKUP($A135,'TMS- NODE'!$A$6:$N$260,6,0)</x:f>
        <x:v>107.3249155,16.65847009</x:v>
      </x:c>
    </x:row>
    <x:row r="136">
      <x:c r="A136" s="34" t="s">
        <x:v>806</x:v>
      </x:c>
      <x:c r="B136" s="44" t="s">
        <x:v>807</x:v>
      </x:c>
      <x:c r="C136" s="45" t="s">
        <x:v>28</x:v>
      </x:c>
      <x:c r="D136" s="45" t="s">
        <x:v>29</x:v>
      </x:c>
      <x:c r="E136" s="46" t="s">
        <x:v>30</x:v>
      </x:c>
      <x:c r="F136" s="45" t="s">
        <x:v>29</x:v>
      </x:c>
      <x:c r="G136" s="46" t="s">
        <x:v>31</x:v>
      </x:c>
      <x:c r="H136" s="47" t="s">
        <x:v>769</x:v>
      </x:c>
      <x:c r="I136" s="48" t="s">
        <x:v>770</x:v>
      </x:c>
      <x:c r="J136" s="45" t="s">
        <x:v>807</x:v>
      </x:c>
      <x:c r="K136" s="46" t="s">
        <x:v>808</x:v>
      </x:c>
      <x:c r="L136" s="45" t="s">
        <x:v>772</x:v>
      </x:c>
      <x:c r="M136" s="45" t="s">
        <x:v>773</x:v>
      </x:c>
      <x:c r="N136" s="49" t="s">
        <x:v>774</x:v>
      </x:c>
      <x:c r="O136" s="45" t="s">
        <x:v>679</x:v>
      </x:c>
      <x:c r="P136" s="46" t="s">
        <x:v>809</x:v>
      </x:c>
      <x:c r="Q136" s="45" t="s">
        <x:v>115</x:v>
      </x:c>
      <x:c r="R136" s="50" t="s">
        <x:v>810</x:v>
      </x:c>
      <x:c r="S136" s="46"/>
      <x:c r="T136" s="42" t="s">
        <x:v>30</x:v>
      </x:c>
      <x:c r="U136" s="43" t="s">
        <x:v>41</x:v>
      </x:c>
      <x:c r="V136" s="43" t="s">
        <x:v>682</x:v>
      </x:c>
      <x:c r="W136" s="8" t="str">
        <x:f>+VLOOKUP($A136,'TMS- NODE'!$A$6:$N$260,6,0)</x:f>
        <x:v>107.3323302,16.67031741</x:v>
      </x:c>
    </x:row>
    <x:row r="137">
      <x:c r="A137" s="34" t="s">
        <x:v>811</x:v>
      </x:c>
      <x:c r="B137" s="44" t="s">
        <x:v>812</x:v>
      </x:c>
      <x:c r="C137" s="45" t="s">
        <x:v>28</x:v>
      </x:c>
      <x:c r="D137" s="45" t="s">
        <x:v>29</x:v>
      </x:c>
      <x:c r="E137" s="46" t="s">
        <x:v>30</x:v>
      </x:c>
      <x:c r="F137" s="45" t="s">
        <x:v>29</x:v>
      </x:c>
      <x:c r="G137" s="46" t="s">
        <x:v>31</x:v>
      </x:c>
      <x:c r="H137" s="47" t="s">
        <x:v>245</x:v>
      </x:c>
      <x:c r="I137" s="48" t="s">
        <x:v>246</x:v>
      </x:c>
      <x:c r="J137" s="45" t="s">
        <x:v>812</x:v>
      </x:c>
      <x:c r="K137" s="46" t="s">
        <x:v>813</x:v>
      </x:c>
      <x:c r="L137" s="45" t="s">
        <x:v>248</x:v>
      </x:c>
      <x:c r="M137" s="45" t="s">
        <x:v>249</x:v>
      </x:c>
      <x:c r="N137" s="49" t="s">
        <x:v>250</x:v>
      </x:c>
      <x:c r="O137" s="45" t="s">
        <x:v>679</x:v>
      </x:c>
      <x:c r="P137" s="46" t="s">
        <x:v>814</x:v>
      </x:c>
      <x:c r="Q137" s="45" t="s">
        <x:v>115</x:v>
      </x:c>
      <x:c r="R137" s="50" t="s">
        <x:v>815</x:v>
      </x:c>
      <x:c r="S137" s="46"/>
      <x:c r="T137" s="42" t="s">
        <x:v>30</x:v>
      </x:c>
      <x:c r="U137" s="43" t="s">
        <x:v>41</x:v>
      </x:c>
      <x:c r="V137" s="43" t="s">
        <x:v>682</x:v>
      </x:c>
      <x:c r="W137" s="8" t="str">
        <x:f>+VLOOKUP($A137,'TMS- NODE'!$A$6:$N$260,6,0)</x:f>
        <x:v>107.3617405,16.70547513</x:v>
      </x:c>
    </x:row>
    <x:row r="138">
      <x:c r="A138" s="34" t="s">
        <x:v>816</x:v>
      </x:c>
      <x:c r="B138" s="44" t="s">
        <x:v>817</x:v>
      </x:c>
      <x:c r="C138" s="45" t="s">
        <x:v>28</x:v>
      </x:c>
      <x:c r="D138" s="45" t="s">
        <x:v>29</x:v>
      </x:c>
      <x:c r="E138" s="46" t="s">
        <x:v>30</x:v>
      </x:c>
      <x:c r="F138" s="45" t="s">
        <x:v>29</x:v>
      </x:c>
      <x:c r="G138" s="46" t="s">
        <x:v>31</x:v>
      </x:c>
      <x:c r="H138" s="47" t="s">
        <x:v>32</x:v>
      </x:c>
      <x:c r="I138" s="48" t="s">
        <x:v>33</x:v>
      </x:c>
      <x:c r="J138" s="45" t="s">
        <x:v>817</x:v>
      </x:c>
      <x:c r="K138" s="46" t="s">
        <x:v>818</x:v>
      </x:c>
      <x:c r="L138" s="45" t="s">
        <x:v>131</x:v>
      </x:c>
      <x:c r="M138" s="45" t="s">
        <x:v>132</x:v>
      </x:c>
      <x:c r="N138" s="49" t="s">
        <x:v>133</x:v>
      </x:c>
      <x:c r="O138" s="45" t="s">
        <x:v>679</x:v>
      </x:c>
      <x:c r="P138" s="46" t="s">
        <x:v>819</x:v>
      </x:c>
      <x:c r="Q138" s="45" t="s">
        <x:v>115</x:v>
      </x:c>
      <x:c r="R138" s="50" t="s">
        <x:v>820</x:v>
      </x:c>
      <x:c r="S138" s="46"/>
      <x:c r="T138" s="42" t="s">
        <x:v>30</x:v>
      </x:c>
      <x:c r="U138" s="43" t="s">
        <x:v>41</x:v>
      </x:c>
      <x:c r="V138" s="43" t="s">
        <x:v>682</x:v>
      </x:c>
      <x:c r="W138" s="8" t="str">
        <x:f>+VLOOKUP($A138,'TMS- NODE'!$A$6:$N$260,6,0)</x:f>
        <x:v>107.3184691,16.52330967</x:v>
      </x:c>
    </x:row>
    <x:row r="139">
      <x:c r="A139" s="34" t="s">
        <x:v>821</x:v>
      </x:c>
      <x:c r="B139" s="44" t="s">
        <x:v>822</x:v>
      </x:c>
      <x:c r="C139" s="45" t="s">
        <x:v>28</x:v>
      </x:c>
      <x:c r="D139" s="45" t="s">
        <x:v>29</x:v>
      </x:c>
      <x:c r="E139" s="46" t="s">
        <x:v>30</x:v>
      </x:c>
      <x:c r="F139" s="45" t="s">
        <x:v>29</x:v>
      </x:c>
      <x:c r="G139" s="46" t="s">
        <x:v>31</x:v>
      </x:c>
      <x:c r="H139" s="47" t="s">
        <x:v>260</x:v>
      </x:c>
      <x:c r="I139" s="48" t="s">
        <x:v>261</x:v>
      </x:c>
      <x:c r="J139" s="45" t="s">
        <x:v>822</x:v>
      </x:c>
      <x:c r="K139" s="46" t="s">
        <x:v>823</x:v>
      </x:c>
      <x:c r="L139" s="45" t="s">
        <x:v>263</x:v>
      </x:c>
      <x:c r="M139" s="45" t="s">
        <x:v>264</x:v>
      </x:c>
      <x:c r="N139" s="49" t="s">
        <x:v>265</x:v>
      </x:c>
      <x:c r="O139" s="45" t="s">
        <x:v>679</x:v>
      </x:c>
      <x:c r="P139" s="46" t="s">
        <x:v>824</x:v>
      </x:c>
      <x:c r="Q139" s="45" t="s">
        <x:v>115</x:v>
      </x:c>
      <x:c r="R139" s="50" t="s">
        <x:v>825</x:v>
      </x:c>
      <x:c r="S139" s="46"/>
      <x:c r="T139" s="42" t="s">
        <x:v>30</x:v>
      </x:c>
      <x:c r="U139" s="43" t="s">
        <x:v>41</x:v>
      </x:c>
      <x:c r="V139" s="43" t="s">
        <x:v>682</x:v>
      </x:c>
      <x:c r="W139" s="8" t="str">
        <x:f>+VLOOKUP($A139,'TMS- NODE'!$A$6:$N$260,6,0)</x:f>
        <x:v>107.4427311,16.53390423</x:v>
      </x:c>
    </x:row>
    <x:row r="140">
      <x:c r="A140" s="34" t="s">
        <x:v>826</x:v>
      </x:c>
      <x:c r="B140" s="44" t="s">
        <x:v>827</x:v>
      </x:c>
      <x:c r="C140" s="45" t="s">
        <x:v>28</x:v>
      </x:c>
      <x:c r="D140" s="45" t="s">
        <x:v>29</x:v>
      </x:c>
      <x:c r="E140" s="46" t="s">
        <x:v>30</x:v>
      </x:c>
      <x:c r="F140" s="45" t="s">
        <x:v>29</x:v>
      </x:c>
      <x:c r="G140" s="46" t="s">
        <x:v>31</x:v>
      </x:c>
      <x:c r="H140" s="47" t="s">
        <x:v>260</x:v>
      </x:c>
      <x:c r="I140" s="48" t="s">
        <x:v>261</x:v>
      </x:c>
      <x:c r="J140" s="45" t="s">
        <x:v>827</x:v>
      </x:c>
      <x:c r="K140" s="46" t="s">
        <x:v>828</x:v>
      </x:c>
      <x:c r="L140" s="45" t="s">
        <x:v>263</x:v>
      </x:c>
      <x:c r="M140" s="45" t="s">
        <x:v>264</x:v>
      </x:c>
      <x:c r="N140" s="49" t="s">
        <x:v>265</x:v>
      </x:c>
      <x:c r="O140" s="45" t="s">
        <x:v>679</x:v>
      </x:c>
      <x:c r="P140" s="46" t="s">
        <x:v>829</x:v>
      </x:c>
      <x:c r="Q140" s="45" t="s">
        <x:v>115</x:v>
      </x:c>
      <x:c r="R140" s="50" t="s">
        <x:v>830</x:v>
      </x:c>
      <x:c r="S140" s="46"/>
      <x:c r="T140" s="42" t="s">
        <x:v>30</x:v>
      </x:c>
      <x:c r="U140" s="43" t="s">
        <x:v>41</x:v>
      </x:c>
      <x:c r="V140" s="43" t="s">
        <x:v>682</x:v>
      </x:c>
      <x:c r="W140" s="8" t="str">
        <x:f>+VLOOKUP($A140,'TMS- NODE'!$A$6:$N$260,6,0)</x:f>
        <x:v>107.4067144,16.49322842</x:v>
      </x:c>
    </x:row>
    <x:row r="141">
      <x:c r="A141" s="34" t="s">
        <x:v>831</x:v>
      </x:c>
      <x:c r="B141" s="44" t="s">
        <x:v>832</x:v>
      </x:c>
      <x:c r="C141" s="45" t="s">
        <x:v>28</x:v>
      </x:c>
      <x:c r="D141" s="45" t="s">
        <x:v>29</x:v>
      </x:c>
      <x:c r="E141" s="46" t="s">
        <x:v>30</x:v>
      </x:c>
      <x:c r="F141" s="45" t="s">
        <x:v>29</x:v>
      </x:c>
      <x:c r="G141" s="46" t="s">
        <x:v>31</x:v>
      </x:c>
      <x:c r="H141" s="47" t="s">
        <x:v>833</x:v>
      </x:c>
      <x:c r="I141" s="48" t="s">
        <x:v>834</x:v>
      </x:c>
      <x:c r="J141" s="45" t="s">
        <x:v>832</x:v>
      </x:c>
      <x:c r="K141" s="46" t="s">
        <x:v>835</x:v>
      </x:c>
      <x:c r="L141" s="45" t="s">
        <x:v>836</x:v>
      </x:c>
      <x:c r="M141" s="45" t="s">
        <x:v>837</x:v>
      </x:c>
      <x:c r="N141" s="49" t="s">
        <x:v>838</x:v>
      </x:c>
      <x:c r="O141" s="45" t="s">
        <x:v>679</x:v>
      </x:c>
      <x:c r="P141" s="46" t="s">
        <x:v>839</x:v>
      </x:c>
      <x:c r="Q141" s="45" t="s">
        <x:v>115</x:v>
      </x:c>
      <x:c r="R141" s="50" t="s">
        <x:v>840</x:v>
      </x:c>
      <x:c r="S141" s="46"/>
      <x:c r="T141" s="42" t="s">
        <x:v>30</x:v>
      </x:c>
      <x:c r="U141" s="43" t="s">
        <x:v>41</x:v>
      </x:c>
      <x:c r="V141" s="43" t="s">
        <x:v>682</x:v>
      </x:c>
      <x:c r="W141" s="8" t="str">
        <x:f>+VLOOKUP($A141,'TMS- NODE'!$A$6:$N$260,6,0)</x:f>
        <x:v>107.5349839,16.5140435</x:v>
      </x:c>
    </x:row>
    <x:row r="142">
      <x:c r="A142" s="34" t="s">
        <x:v>841</x:v>
      </x:c>
      <x:c r="B142" s="44" t="s">
        <x:v>842</x:v>
      </x:c>
      <x:c r="C142" s="45" t="s">
        <x:v>28</x:v>
      </x:c>
      <x:c r="D142" s="45" t="s">
        <x:v>29</x:v>
      </x:c>
      <x:c r="E142" s="46" t="s">
        <x:v>30</x:v>
      </x:c>
      <x:c r="F142" s="45" t="s">
        <x:v>29</x:v>
      </x:c>
      <x:c r="G142" s="46" t="s">
        <x:v>31</x:v>
      </x:c>
      <x:c r="H142" s="47" t="s">
        <x:v>755</x:v>
      </x:c>
      <x:c r="I142" s="48" t="s">
        <x:v>756</x:v>
      </x:c>
      <x:c r="J142" s="45" t="s">
        <x:v>842</x:v>
      </x:c>
      <x:c r="K142" s="46" t="s">
        <x:v>843</x:v>
      </x:c>
      <x:c r="L142" s="45" t="s">
        <x:v>757</x:v>
      </x:c>
      <x:c r="M142" s="45" t="s">
        <x:v>758</x:v>
      </x:c>
      <x:c r="N142" s="49" t="s">
        <x:v>759</x:v>
      </x:c>
      <x:c r="O142" s="45" t="s">
        <x:v>679</x:v>
      </x:c>
      <x:c r="P142" s="46" t="s">
        <x:v>844</x:v>
      </x:c>
      <x:c r="Q142" s="45" t="s">
        <x:v>115</x:v>
      </x:c>
      <x:c r="R142" s="50" t="s">
        <x:v>845</x:v>
      </x:c>
      <x:c r="S142" s="46"/>
      <x:c r="T142" s="42" t="s">
        <x:v>30</x:v>
      </x:c>
      <x:c r="U142" s="43" t="s">
        <x:v>41</x:v>
      </x:c>
      <x:c r="V142" s="43" t="s">
        <x:v>682</x:v>
      </x:c>
      <x:c r="W142" s="8" t="str">
        <x:f>+VLOOKUP($A142,'TMS- NODE'!$A$6:$N$260,6,0)</x:f>
        <x:v>107.580247,16.55424288</x:v>
      </x:c>
    </x:row>
    <x:row r="143">
      <x:c r="A143" s="34" t="s">
        <x:v>846</x:v>
      </x:c>
      <x:c r="B143" s="44" t="s">
        <x:v>847</x:v>
      </x:c>
      <x:c r="C143" s="45" t="s">
        <x:v>28</x:v>
      </x:c>
      <x:c r="D143" s="45" t="s">
        <x:v>29</x:v>
      </x:c>
      <x:c r="E143" s="46" t="s">
        <x:v>30</x:v>
      </x:c>
      <x:c r="F143" s="45" t="s">
        <x:v>29</x:v>
      </x:c>
      <x:c r="G143" s="46" t="s">
        <x:v>31</x:v>
      </x:c>
      <x:c r="H143" s="47" t="s">
        <x:v>755</x:v>
      </x:c>
      <x:c r="I143" s="48" t="s">
        <x:v>756</x:v>
      </x:c>
      <x:c r="J143" s="45" t="s">
        <x:v>847</x:v>
      </x:c>
      <x:c r="K143" s="46" t="s">
        <x:v>848</x:v>
      </x:c>
      <x:c r="L143" s="45" t="s">
        <x:v>757</x:v>
      </x:c>
      <x:c r="M143" s="45" t="s">
        <x:v>758</x:v>
      </x:c>
      <x:c r="N143" s="49" t="s">
        <x:v>759</x:v>
      </x:c>
      <x:c r="O143" s="45" t="s">
        <x:v>679</x:v>
      </x:c>
      <x:c r="P143" s="46" t="s">
        <x:v>849</x:v>
      </x:c>
      <x:c r="Q143" s="45" t="s">
        <x:v>115</x:v>
      </x:c>
      <x:c r="R143" s="50" t="s">
        <x:v>850</x:v>
      </x:c>
      <x:c r="S143" s="46"/>
      <x:c r="T143" s="42" t="s">
        <x:v>30</x:v>
      </x:c>
      <x:c r="U143" s="43" t="s">
        <x:v>41</x:v>
      </x:c>
      <x:c r="V143" s="43" t="s">
        <x:v>682</x:v>
      </x:c>
      <x:c r="W143" s="8" t="str">
        <x:f>+VLOOKUP($A143,'TMS- NODE'!$A$6:$N$260,6,0)</x:f>
        <x:v>107.5711477,16.50953315</x:v>
      </x:c>
    </x:row>
    <x:row r="144">
      <x:c r="A144" s="34" t="s">
        <x:v>851</x:v>
      </x:c>
      <x:c r="B144" s="44" t="s">
        <x:v>852</x:v>
      </x:c>
      <x:c r="C144" s="45" t="s">
        <x:v>28</x:v>
      </x:c>
      <x:c r="D144" s="45" t="s">
        <x:v>29</x:v>
      </x:c>
      <x:c r="E144" s="46" t="s">
        <x:v>30</x:v>
      </x:c>
      <x:c r="F144" s="45" t="s">
        <x:v>29</x:v>
      </x:c>
      <x:c r="G144" s="46" t="s">
        <x:v>31</x:v>
      </x:c>
      <x:c r="H144" s="47" t="s">
        <x:v>300</x:v>
      </x:c>
      <x:c r="I144" s="48" t="s">
        <x:v>301</x:v>
      </x:c>
      <x:c r="J144" s="45" t="s">
        <x:v>852</x:v>
      </x:c>
      <x:c r="K144" s="46" t="s">
        <x:v>853</x:v>
      </x:c>
      <x:c r="L144" s="45" t="s">
        <x:v>303</x:v>
      </x:c>
      <x:c r="M144" s="45" t="s">
        <x:v>304</x:v>
      </x:c>
      <x:c r="N144" s="49" t="s">
        <x:v>305</x:v>
      </x:c>
      <x:c r="O144" s="45" t="s">
        <x:v>679</x:v>
      </x:c>
      <x:c r="P144" s="46" t="s">
        <x:v>854</x:v>
      </x:c>
      <x:c r="Q144" s="45" t="s">
        <x:v>115</x:v>
      </x:c>
      <x:c r="R144" s="50" t="s">
        <x:v>855</x:v>
      </x:c>
      <x:c r="S144" s="46"/>
      <x:c r="T144" s="42" t="s">
        <x:v>30</x:v>
      </x:c>
      <x:c r="U144" s="43" t="s">
        <x:v>41</x:v>
      </x:c>
      <x:c r="V144" s="43" t="s">
        <x:v>682</x:v>
      </x:c>
      <x:c r="W144" s="8" t="str">
        <x:f>+VLOOKUP($A144,'TMS- NODE'!$A$6:$N$260,6,0)</x:f>
        <x:v>107.6010136,16.58023491</x:v>
      </x:c>
    </x:row>
    <x:row r="145">
      <x:c r="A145" s="34" t="s">
        <x:v>856</x:v>
      </x:c>
      <x:c r="B145" s="44" t="s">
        <x:v>857</x:v>
      </x:c>
      <x:c r="C145" s="45" t="s">
        <x:v>28</x:v>
      </x:c>
      <x:c r="D145" s="45" t="s">
        <x:v>29</x:v>
      </x:c>
      <x:c r="E145" s="46" t="s">
        <x:v>30</x:v>
      </x:c>
      <x:c r="F145" s="45" t="s">
        <x:v>29</x:v>
      </x:c>
      <x:c r="G145" s="46" t="s">
        <x:v>31</x:v>
      </x:c>
      <x:c r="H145" s="47" t="s">
        <x:v>138</x:v>
      </x:c>
      <x:c r="I145" s="48" t="s">
        <x:v>139</x:v>
      </x:c>
      <x:c r="J145" s="45" t="s">
        <x:v>857</x:v>
      </x:c>
      <x:c r="K145" s="46" t="s">
        <x:v>858</x:v>
      </x:c>
      <x:c r="L145" s="45" t="s">
        <x:v>141</x:v>
      </x:c>
      <x:c r="M145" s="45" t="s">
        <x:v>142</x:v>
      </x:c>
      <x:c r="N145" s="49" t="s">
        <x:v>143</x:v>
      </x:c>
      <x:c r="O145" s="45" t="s">
        <x:v>679</x:v>
      </x:c>
      <x:c r="P145" s="46" t="s">
        <x:v>859</x:v>
      </x:c>
      <x:c r="Q145" s="45" t="s">
        <x:v>115</x:v>
      </x:c>
      <x:c r="R145" s="50" t="s">
        <x:v>860</x:v>
      </x:c>
      <x:c r="S145" s="46"/>
      <x:c r="T145" s="42" t="s">
        <x:v>30</x:v>
      </x:c>
      <x:c r="U145" s="43" t="s">
        <x:v>41</x:v>
      </x:c>
      <x:c r="V145" s="43" t="s">
        <x:v>682</x:v>
      </x:c>
      <x:c r="W145" s="8" t="str">
        <x:f>+VLOOKUP($A145,'TMS- NODE'!$A$6:$N$260,6,0)</x:f>
        <x:v>107.4397218,16.5086052</x:v>
      </x:c>
    </x:row>
    <x:row r="146">
      <x:c r="A146" s="34" t="s">
        <x:v>861</x:v>
      </x:c>
      <x:c r="B146" s="44" t="s">
        <x:v>862</x:v>
      </x:c>
      <x:c r="C146" s="45" t="s">
        <x:v>28</x:v>
      </x:c>
      <x:c r="D146" s="45" t="s">
        <x:v>29</x:v>
      </x:c>
      <x:c r="E146" s="46" t="s">
        <x:v>30</x:v>
      </x:c>
      <x:c r="F146" s="45" t="s">
        <x:v>29</x:v>
      </x:c>
      <x:c r="G146" s="46" t="s">
        <x:v>31</x:v>
      </x:c>
      <x:c r="H146" s="47" t="s">
        <x:v>138</x:v>
      </x:c>
      <x:c r="I146" s="48" t="s">
        <x:v>139</x:v>
      </x:c>
      <x:c r="J146" s="45" t="s">
        <x:v>862</x:v>
      </x:c>
      <x:c r="K146" s="46" t="s">
        <x:v>863</x:v>
      </x:c>
      <x:c r="L146" s="45" t="s">
        <x:v>141</x:v>
      </x:c>
      <x:c r="M146" s="45" t="s">
        <x:v>142</x:v>
      </x:c>
      <x:c r="N146" s="49" t="s">
        <x:v>143</x:v>
      </x:c>
      <x:c r="O146" s="45" t="s">
        <x:v>679</x:v>
      </x:c>
      <x:c r="P146" s="46" t="s">
        <x:v>864</x:v>
      </x:c>
      <x:c r="Q146" s="45" t="s">
        <x:v>115</x:v>
      </x:c>
      <x:c r="R146" s="50" t="s">
        <x:v>865</x:v>
      </x:c>
      <x:c r="S146" s="46"/>
      <x:c r="T146" s="42" t="s">
        <x:v>30</x:v>
      </x:c>
      <x:c r="U146" s="43" t="s">
        <x:v>41</x:v>
      </x:c>
      <x:c r="V146" s="43" t="s">
        <x:v>682</x:v>
      </x:c>
      <x:c r="W146" s="8" t="str">
        <x:f>+VLOOKUP($A146,'TMS- NODE'!$A$6:$N$260,6,0)</x:f>
        <x:v>107.4939038,16.51391915</x:v>
      </x:c>
    </x:row>
    <x:row r="147">
      <x:c r="A147" s="34" t="s">
        <x:v>866</x:v>
      </x:c>
      <x:c r="B147" s="44" t="s">
        <x:v>867</x:v>
      </x:c>
      <x:c r="C147" s="45" t="s">
        <x:v>28</x:v>
      </x:c>
      <x:c r="D147" s="45" t="s">
        <x:v>29</x:v>
      </x:c>
      <x:c r="E147" s="46" t="s">
        <x:v>30</x:v>
      </x:c>
      <x:c r="F147" s="45" t="s">
        <x:v>29</x:v>
      </x:c>
      <x:c r="G147" s="46" t="s">
        <x:v>31</x:v>
      </x:c>
      <x:c r="H147" s="47" t="s">
        <x:v>833</x:v>
      </x:c>
      <x:c r="I147" s="48" t="s">
        <x:v>834</x:v>
      </x:c>
      <x:c r="J147" s="45" t="s">
        <x:v>867</x:v>
      </x:c>
      <x:c r="K147" s="46" t="s">
        <x:v>868</x:v>
      </x:c>
      <x:c r="L147" s="45" t="s">
        <x:v>836</x:v>
      </x:c>
      <x:c r="M147" s="45" t="s">
        <x:v>837</x:v>
      </x:c>
      <x:c r="N147" s="49" t="s">
        <x:v>838</x:v>
      </x:c>
      <x:c r="O147" s="45" t="s">
        <x:v>679</x:v>
      </x:c>
      <x:c r="P147" s="46" t="s">
        <x:v>869</x:v>
      </x:c>
      <x:c r="Q147" s="45" t="s">
        <x:v>115</x:v>
      </x:c>
      <x:c r="R147" s="50" t="s">
        <x:v>870</x:v>
      </x:c>
      <x:c r="S147" s="46"/>
      <x:c r="T147" s="42" t="s">
        <x:v>30</x:v>
      </x:c>
      <x:c r="U147" s="43" t="s">
        <x:v>41</x:v>
      </x:c>
      <x:c r="V147" s="43" t="s">
        <x:v>682</x:v>
      </x:c>
      <x:c r="W147" s="8" t="str">
        <x:f>+VLOOKUP($A147,'TMS- NODE'!$A$6:$N$260,6,0)</x:f>
        <x:v>107.5017927,16.51774738</x:v>
      </x:c>
    </x:row>
    <x:row r="148">
      <x:c r="A148" s="34" t="s">
        <x:v>871</x:v>
      </x:c>
      <x:c r="B148" s="44" t="s">
        <x:v>872</x:v>
      </x:c>
      <x:c r="C148" s="45" t="s">
        <x:v>28</x:v>
      </x:c>
      <x:c r="D148" s="45" t="s">
        <x:v>29</x:v>
      </x:c>
      <x:c r="E148" s="46" t="s">
        <x:v>30</x:v>
      </x:c>
      <x:c r="F148" s="45" t="s">
        <x:v>29</x:v>
      </x:c>
      <x:c r="G148" s="46" t="s">
        <x:v>31</x:v>
      </x:c>
      <x:c r="H148" s="47" t="s">
        <x:v>270</x:v>
      </x:c>
      <x:c r="I148" s="48" t="s">
        <x:v>271</x:v>
      </x:c>
      <x:c r="J148" s="45" t="s">
        <x:v>872</x:v>
      </x:c>
      <x:c r="K148" s="46" t="s">
        <x:v>873</x:v>
      </x:c>
      <x:c r="L148" s="45" t="s">
        <x:v>273</x:v>
      </x:c>
      <x:c r="M148" s="45" t="s">
        <x:v>274</x:v>
      </x:c>
      <x:c r="N148" s="49" t="s">
        <x:v>275</x:v>
      </x:c>
      <x:c r="O148" s="45" t="s">
        <x:v>679</x:v>
      </x:c>
      <x:c r="P148" s="46" t="s">
        <x:v>874</x:v>
      </x:c>
      <x:c r="Q148" s="45" t="s">
        <x:v>115</x:v>
      </x:c>
      <x:c r="R148" s="50" t="s">
        <x:v>875</x:v>
      </x:c>
      <x:c r="S148" s="46"/>
      <x:c r="T148" s="42" t="s">
        <x:v>30</x:v>
      </x:c>
      <x:c r="U148" s="43" t="s">
        <x:v>41</x:v>
      </x:c>
      <x:c r="V148" s="43" t="s">
        <x:v>682</x:v>
      </x:c>
      <x:c r="W148" s="8" t="str">
        <x:f>+VLOOKUP($A148,'TMS- NODE'!$A$6:$N$260,6,0)</x:f>
        <x:v>107.4818557,16.39446059</x:v>
      </x:c>
    </x:row>
    <x:row r="149">
      <x:c r="A149" s="34" t="s">
        <x:v>876</x:v>
      </x:c>
      <x:c r="B149" s="44" t="s">
        <x:v>877</x:v>
      </x:c>
      <x:c r="C149" s="45" t="s">
        <x:v>28</x:v>
      </x:c>
      <x:c r="D149" s="45" t="s">
        <x:v>29</x:v>
      </x:c>
      <x:c r="E149" s="46" t="s">
        <x:v>30</x:v>
      </x:c>
      <x:c r="F149" s="45" t="s">
        <x:v>29</x:v>
      </x:c>
      <x:c r="G149" s="46" t="s">
        <x:v>31</x:v>
      </x:c>
      <x:c r="H149" s="47" t="s">
        <x:v>270</x:v>
      </x:c>
      <x:c r="I149" s="48" t="s">
        <x:v>271</x:v>
      </x:c>
      <x:c r="J149" s="45" t="s">
        <x:v>877</x:v>
      </x:c>
      <x:c r="K149" s="46" t="s">
        <x:v>878</x:v>
      </x:c>
      <x:c r="L149" s="45" t="s">
        <x:v>273</x:v>
      </x:c>
      <x:c r="M149" s="45" t="s">
        <x:v>274</x:v>
      </x:c>
      <x:c r="N149" s="49" t="s">
        <x:v>275</x:v>
      </x:c>
      <x:c r="O149" s="45" t="s">
        <x:v>679</x:v>
      </x:c>
      <x:c r="P149" s="46" t="s">
        <x:v>879</x:v>
      </x:c>
      <x:c r="Q149" s="45" t="s">
        <x:v>115</x:v>
      </x:c>
      <x:c r="R149" s="50" t="s">
        <x:v>880</x:v>
      </x:c>
      <x:c r="S149" s="46"/>
      <x:c r="T149" s="42" t="s">
        <x:v>30</x:v>
      </x:c>
      <x:c r="U149" s="43" t="s">
        <x:v>41</x:v>
      </x:c>
      <x:c r="V149" s="43" t="s">
        <x:v>682</x:v>
      </x:c>
      <x:c r="W149" s="8" t="str">
        <x:f>+VLOOKUP($A149,'TMS- NODE'!$A$6:$N$260,6,0)</x:f>
        <x:v>107.5258681,16.35242389</x:v>
      </x:c>
    </x:row>
    <x:row r="150">
      <x:c r="A150" s="34" t="s">
        <x:v>881</x:v>
      </x:c>
      <x:c r="B150" s="44" t="s">
        <x:v>882</x:v>
      </x:c>
      <x:c r="C150" s="45" t="s">
        <x:v>28</x:v>
      </x:c>
      <x:c r="D150" s="45" t="s">
        <x:v>29</x:v>
      </x:c>
      <x:c r="E150" s="46" t="s">
        <x:v>30</x:v>
      </x:c>
      <x:c r="F150" s="45" t="s">
        <x:v>29</x:v>
      </x:c>
      <x:c r="G150" s="46" t="s">
        <x:v>31</x:v>
      </x:c>
      <x:c r="H150" s="47" t="s">
        <x:v>833</x:v>
      </x:c>
      <x:c r="I150" s="48" t="s">
        <x:v>834</x:v>
      </x:c>
      <x:c r="J150" s="45" t="s">
        <x:v>882</x:v>
      </x:c>
      <x:c r="K150" s="46" t="s">
        <x:v>488</x:v>
      </x:c>
      <x:c r="L150" s="45" t="s">
        <x:v>836</x:v>
      </x:c>
      <x:c r="M150" s="45" t="s">
        <x:v>837</x:v>
      </x:c>
      <x:c r="N150" s="49" t="s">
        <x:v>838</x:v>
      </x:c>
      <x:c r="O150" s="45" t="s">
        <x:v>679</x:v>
      </x:c>
      <x:c r="P150" s="46" t="s">
        <x:v>883</x:v>
      </x:c>
      <x:c r="Q150" s="45" t="s">
        <x:v>115</x:v>
      </x:c>
      <x:c r="R150" s="50" t="s">
        <x:v>884</x:v>
      </x:c>
      <x:c r="S150" s="46"/>
      <x:c r="T150" s="42" t="s">
        <x:v>30</x:v>
      </x:c>
      <x:c r="U150" s="43" t="s">
        <x:v>41</x:v>
      </x:c>
      <x:c r="V150" s="43" t="s">
        <x:v>682</x:v>
      </x:c>
      <x:c r="W150" s="8" t="str">
        <x:f>+VLOOKUP($A150,'TMS- NODE'!$A$6:$N$260,6,0)</x:f>
        <x:v>107.5180482,16.48604875</x:v>
      </x:c>
    </x:row>
    <x:row r="151">
      <x:c r="A151" s="34" t="s">
        <x:v>885</x:v>
      </x:c>
      <x:c r="B151" s="44" t="s">
        <x:v>886</x:v>
      </x:c>
      <x:c r="C151" s="45" t="s">
        <x:v>28</x:v>
      </x:c>
      <x:c r="D151" s="45" t="s">
        <x:v>29</x:v>
      </x:c>
      <x:c r="E151" s="46" t="s">
        <x:v>30</x:v>
      </x:c>
      <x:c r="F151" s="45" t="s">
        <x:v>29</x:v>
      </x:c>
      <x:c r="G151" s="46" t="s">
        <x:v>31</x:v>
      </x:c>
      <x:c r="H151" s="47" t="s">
        <x:v>228</x:v>
      </x:c>
      <x:c r="I151" s="48" t="s">
        <x:v>229</x:v>
      </x:c>
      <x:c r="J151" s="45" t="s">
        <x:v>886</x:v>
      </x:c>
      <x:c r="K151" s="46" t="s">
        <x:v>887</x:v>
      </x:c>
      <x:c r="L151" s="45" t="s">
        <x:v>231</x:v>
      </x:c>
      <x:c r="M151" s="45" t="s">
        <x:v>232</x:v>
      </x:c>
      <x:c r="N151" s="49" t="s">
        <x:v>233</x:v>
      </x:c>
      <x:c r="O151" s="45" t="s">
        <x:v>679</x:v>
      </x:c>
      <x:c r="P151" s="46" t="s">
        <x:v>888</x:v>
      </x:c>
      <x:c r="Q151" s="45" t="s">
        <x:v>115</x:v>
      </x:c>
      <x:c r="R151" s="50" t="s">
        <x:v>889</x:v>
      </x:c>
      <x:c r="S151" s="46"/>
      <x:c r="T151" s="42" t="s">
        <x:v>30</x:v>
      </x:c>
      <x:c r="U151" s="43" t="s">
        <x:v>41</x:v>
      </x:c>
      <x:c r="V151" s="43" t="s">
        <x:v>682</x:v>
      </x:c>
      <x:c r="W151" s="8" t="str">
        <x:f>+VLOOKUP($A151,'TMS- NODE'!$A$6:$N$260,6,0)</x:f>
        <x:v>107.5200644,16.46613132</x:v>
      </x:c>
    </x:row>
    <x:row r="152">
      <x:c r="A152" s="34" t="s">
        <x:v>890</x:v>
      </x:c>
      <x:c r="B152" s="44" t="s">
        <x:v>891</x:v>
      </x:c>
      <x:c r="C152" s="45" t="s">
        <x:v>28</x:v>
      </x:c>
      <x:c r="D152" s="45" t="s">
        <x:v>29</x:v>
      </x:c>
      <x:c r="E152" s="46" t="s">
        <x:v>30</x:v>
      </x:c>
      <x:c r="F152" s="45" t="s">
        <x:v>29</x:v>
      </x:c>
      <x:c r="G152" s="46" t="s">
        <x:v>31</x:v>
      </x:c>
      <x:c r="H152" s="47" t="s">
        <x:v>218</x:v>
      </x:c>
      <x:c r="I152" s="48" t="s">
        <x:v>219</x:v>
      </x:c>
      <x:c r="J152" s="45" t="s">
        <x:v>891</x:v>
      </x:c>
      <x:c r="K152" s="46" t="s">
        <x:v>892</x:v>
      </x:c>
      <x:c r="L152" s="45" t="s">
        <x:v>221</x:v>
      </x:c>
      <x:c r="M152" s="45" t="s">
        <x:v>222</x:v>
      </x:c>
      <x:c r="N152" s="49" t="s">
        <x:v>223</x:v>
      </x:c>
      <x:c r="O152" s="45" t="s">
        <x:v>679</x:v>
      </x:c>
      <x:c r="P152" s="46" t="s">
        <x:v>893</x:v>
      </x:c>
      <x:c r="Q152" s="45" t="s">
        <x:v>115</x:v>
      </x:c>
      <x:c r="R152" s="50" t="s">
        <x:v>894</x:v>
      </x:c>
      <x:c r="S152" s="46"/>
      <x:c r="T152" s="42" t="s">
        <x:v>30</x:v>
      </x:c>
      <x:c r="U152" s="43" t="s">
        <x:v>41</x:v>
      </x:c>
      <x:c r="V152" s="43" t="s">
        <x:v>682</x:v>
      </x:c>
      <x:c r="W152" s="8" t="str">
        <x:f>+VLOOKUP($A152,'TMS- NODE'!$A$6:$N$260,6,0)</x:f>
        <x:v>107.5326741,16.44973928</x:v>
      </x:c>
    </x:row>
    <x:row r="153">
      <x:c r="A153" s="34" t="s">
        <x:v>895</x:v>
      </x:c>
      <x:c r="B153" s="44" t="s">
        <x:v>896</x:v>
      </x:c>
      <x:c r="C153" s="45" t="s">
        <x:v>28</x:v>
      </x:c>
      <x:c r="D153" s="45" t="s">
        <x:v>29</x:v>
      </x:c>
      <x:c r="E153" s="46" t="s">
        <x:v>30</x:v>
      </x:c>
      <x:c r="F153" s="45" t="s">
        <x:v>29</x:v>
      </x:c>
      <x:c r="G153" s="46" t="s">
        <x:v>31</x:v>
      </x:c>
      <x:c r="H153" s="47" t="s">
        <x:v>218</x:v>
      </x:c>
      <x:c r="I153" s="48" t="s">
        <x:v>219</x:v>
      </x:c>
      <x:c r="J153" s="45" t="s">
        <x:v>896</x:v>
      </x:c>
      <x:c r="K153" s="46" t="s">
        <x:v>897</x:v>
      </x:c>
      <x:c r="L153" s="45" t="s">
        <x:v>221</x:v>
      </x:c>
      <x:c r="M153" s="45" t="s">
        <x:v>222</x:v>
      </x:c>
      <x:c r="N153" s="49" t="s">
        <x:v>223</x:v>
      </x:c>
      <x:c r="O153" s="45" t="s">
        <x:v>679</x:v>
      </x:c>
      <x:c r="P153" s="46" t="s">
        <x:v>898</x:v>
      </x:c>
      <x:c r="Q153" s="45" t="s">
        <x:v>115</x:v>
      </x:c>
      <x:c r="R153" s="50" t="s">
        <x:v>899</x:v>
      </x:c>
      <x:c r="S153" s="46"/>
      <x:c r="T153" s="42" t="s">
        <x:v>30</x:v>
      </x:c>
      <x:c r="U153" s="43" t="s">
        <x:v>41</x:v>
      </x:c>
      <x:c r="V153" s="43" t="s">
        <x:v>682</x:v>
      </x:c>
      <x:c r="W153" s="8" t="str">
        <x:f>+VLOOKUP($A153,'TMS- NODE'!$A$6:$N$260,6,0)</x:f>
        <x:v>107.5676591,16.38375672</x:v>
      </x:c>
    </x:row>
    <x:row r="154">
      <x:c r="A154" s="34" t="s">
        <x:v>900</x:v>
      </x:c>
      <x:c r="B154" s="44" t="s">
        <x:v>901</x:v>
      </x:c>
      <x:c r="C154" s="45" t="s">
        <x:v>28</x:v>
      </x:c>
      <x:c r="D154" s="45" t="s">
        <x:v>29</x:v>
      </x:c>
      <x:c r="E154" s="46" t="s">
        <x:v>30</x:v>
      </x:c>
      <x:c r="F154" s="45" t="s">
        <x:v>29</x:v>
      </x:c>
      <x:c r="G154" s="46" t="s">
        <x:v>31</x:v>
      </x:c>
      <x:c r="H154" s="47" t="s">
        <x:v>148</x:v>
      </x:c>
      <x:c r="I154" s="48" t="s">
        <x:v>149</x:v>
      </x:c>
      <x:c r="J154" s="45" t="s">
        <x:v>901</x:v>
      </x:c>
      <x:c r="K154" s="46" t="s">
        <x:v>902</x:v>
      </x:c>
      <x:c r="L154" s="45" t="s">
        <x:v>903</x:v>
      </x:c>
      <x:c r="M154" s="45" t="s">
        <x:v>904</x:v>
      </x:c>
      <x:c r="N154" s="49" t="s">
        <x:v>905</x:v>
      </x:c>
      <x:c r="O154" s="45" t="s">
        <x:v>679</x:v>
      </x:c>
      <x:c r="P154" s="46" t="s">
        <x:v>251</x:v>
      </x:c>
      <x:c r="Q154" s="45" t="s">
        <x:v>115</x:v>
      </x:c>
      <x:c r="R154" s="50" t="s">
        <x:v>906</x:v>
      </x:c>
      <x:c r="S154" s="46"/>
      <x:c r="T154" s="42" t="s">
        <x:v>30</x:v>
      </x:c>
      <x:c r="U154" s="43" t="s">
        <x:v>41</x:v>
      </x:c>
      <x:c r="V154" s="43" t="s">
        <x:v>682</x:v>
      </x:c>
      <x:c r="W154" s="8" t="str">
        <x:f>+VLOOKUP($A154,'TMS- NODE'!$A$6:$N$260,6,0)</x:f>
        <x:v>107.2117527,16.29766267</x:v>
      </x:c>
    </x:row>
    <x:row r="155">
      <x:c r="A155" s="34" t="s">
        <x:v>907</x:v>
      </x:c>
      <x:c r="B155" s="44" t="s">
        <x:v>908</x:v>
      </x:c>
      <x:c r="C155" s="45" t="s">
        <x:v>28</x:v>
      </x:c>
      <x:c r="D155" s="45" t="s">
        <x:v>29</x:v>
      </x:c>
      <x:c r="E155" s="46" t="s">
        <x:v>30</x:v>
      </x:c>
      <x:c r="F155" s="45" t="s">
        <x:v>29</x:v>
      </x:c>
      <x:c r="G155" s="46" t="s">
        <x:v>31</x:v>
      </x:c>
      <x:c r="H155" s="47" t="s">
        <x:v>148</x:v>
      </x:c>
      <x:c r="I155" s="48" t="s">
        <x:v>149</x:v>
      </x:c>
      <x:c r="J155" s="45" t="s">
        <x:v>908</x:v>
      </x:c>
      <x:c r="K155" s="46" t="s">
        <x:v>909</x:v>
      </x:c>
      <x:c r="L155" s="45" t="s">
        <x:v>903</x:v>
      </x:c>
      <x:c r="M155" s="45" t="s">
        <x:v>904</x:v>
      </x:c>
      <x:c r="N155" s="49" t="s">
        <x:v>905</x:v>
      </x:c>
      <x:c r="O155" s="45" t="s">
        <x:v>679</x:v>
      </x:c>
      <x:c r="P155" s="46" t="s">
        <x:v>910</x:v>
      </x:c>
      <x:c r="Q155" s="45" t="s">
        <x:v>115</x:v>
      </x:c>
      <x:c r="R155" s="50" t="s">
        <x:v>911</x:v>
      </x:c>
      <x:c r="S155" s="46"/>
      <x:c r="T155" s="42" t="s">
        <x:v>30</x:v>
      </x:c>
      <x:c r="U155" s="43" t="s">
        <x:v>41</x:v>
      </x:c>
      <x:c r="V155" s="43" t="s">
        <x:v>682</x:v>
      </x:c>
      <x:c r="W155" s="8" t="str">
        <x:f>+VLOOKUP($A155,'TMS- NODE'!$A$6:$N$260,6,0)</x:f>
        <x:v>107.17007,16.33095833</x:v>
      </x:c>
    </x:row>
    <x:row r="156">
      <x:c r="A156" s="34" t="s">
        <x:v>912</x:v>
      </x:c>
      <x:c r="B156" s="44" t="s">
        <x:v>913</x:v>
      </x:c>
      <x:c r="C156" s="45" t="s">
        <x:v>28</x:v>
      </x:c>
      <x:c r="D156" s="45" t="s">
        <x:v>29</x:v>
      </x:c>
      <x:c r="E156" s="46" t="s">
        <x:v>30</x:v>
      </x:c>
      <x:c r="F156" s="45" t="s">
        <x:v>29</x:v>
      </x:c>
      <x:c r="G156" s="46" t="s">
        <x:v>31</x:v>
      </x:c>
      <x:c r="H156" s="47" t="s">
        <x:v>148</x:v>
      </x:c>
      <x:c r="I156" s="48" t="s">
        <x:v>149</x:v>
      </x:c>
      <x:c r="J156" s="45" t="s">
        <x:v>913</x:v>
      </x:c>
      <x:c r="K156" s="46" t="s">
        <x:v>914</x:v>
      </x:c>
      <x:c r="L156" s="45" t="s">
        <x:v>903</x:v>
      </x:c>
      <x:c r="M156" s="45" t="s">
        <x:v>904</x:v>
      </x:c>
      <x:c r="N156" s="49" t="s">
        <x:v>905</x:v>
      </x:c>
      <x:c r="O156" s="45" t="s">
        <x:v>679</x:v>
      </x:c>
      <x:c r="P156" s="46" t="s">
        <x:v>915</x:v>
      </x:c>
      <x:c r="Q156" s="45" t="s">
        <x:v>115</x:v>
      </x:c>
      <x:c r="R156" s="50" t="s">
        <x:v>916</x:v>
      </x:c>
      <x:c r="S156" s="46"/>
      <x:c r="T156" s="42" t="s">
        <x:v>30</x:v>
      </x:c>
      <x:c r="U156" s="43" t="s">
        <x:v>41</x:v>
      </x:c>
      <x:c r="V156" s="43" t="s">
        <x:v>682</x:v>
      </x:c>
      <x:c r="W156" s="8" t="str">
        <x:f>+VLOOKUP($A156,'TMS- NODE'!$A$6:$N$260,6,0)</x:f>
        <x:v>107.1363303,16.35386542</x:v>
      </x:c>
    </x:row>
    <x:row r="157">
      <x:c r="A157" s="34" t="s">
        <x:v>917</x:v>
      </x:c>
      <x:c r="B157" s="44" t="s">
        <x:v>918</x:v>
      </x:c>
      <x:c r="C157" s="45" t="s">
        <x:v>28</x:v>
      </x:c>
      <x:c r="D157" s="45" t="s">
        <x:v>29</x:v>
      </x:c>
      <x:c r="E157" s="46" t="s">
        <x:v>30</x:v>
      </x:c>
      <x:c r="F157" s="45" t="s">
        <x:v>29</x:v>
      </x:c>
      <x:c r="G157" s="46" t="s">
        <x:v>31</x:v>
      </x:c>
      <x:c r="H157" s="47" t="s">
        <x:v>148</x:v>
      </x:c>
      <x:c r="I157" s="48" t="s">
        <x:v>149</x:v>
      </x:c>
      <x:c r="J157" s="45" t="s">
        <x:v>918</x:v>
      </x:c>
      <x:c r="K157" s="46" t="s">
        <x:v>919</x:v>
      </x:c>
      <x:c r="L157" s="45" t="s">
        <x:v>151</x:v>
      </x:c>
      <x:c r="M157" s="45" t="s">
        <x:v>152</x:v>
      </x:c>
      <x:c r="N157" s="49" t="s">
        <x:v>153</x:v>
      </x:c>
      <x:c r="O157" s="45" t="s">
        <x:v>679</x:v>
      </x:c>
      <x:c r="P157" s="46" t="s">
        <x:v>920</x:v>
      </x:c>
      <x:c r="Q157" s="45" t="s">
        <x:v>115</x:v>
      </x:c>
      <x:c r="R157" s="50" t="s">
        <x:v>921</x:v>
      </x:c>
      <x:c r="S157" s="46"/>
      <x:c r="T157" s="42" t="s">
        <x:v>30</x:v>
      </x:c>
      <x:c r="U157" s="43" t="s">
        <x:v>41</x:v>
      </x:c>
      <x:c r="V157" s="43" t="s">
        <x:v>682</x:v>
      </x:c>
      <x:c r="W157" s="8" t="str">
        <x:f>+VLOOKUP($A157,'TMS- NODE'!$A$6:$N$260,6,0)</x:f>
        <x:v>107.2047248,16.27598238</x:v>
      </x:c>
    </x:row>
    <x:row r="158">
      <x:c r="A158" s="34" t="s">
        <x:v>922</x:v>
      </x:c>
      <x:c r="B158" s="44" t="s">
        <x:v>923</x:v>
      </x:c>
      <x:c r="C158" s="45" t="s">
        <x:v>28</x:v>
      </x:c>
      <x:c r="D158" s="45" t="s">
        <x:v>29</x:v>
      </x:c>
      <x:c r="E158" s="46" t="s">
        <x:v>30</x:v>
      </x:c>
      <x:c r="F158" s="45" t="s">
        <x:v>29</x:v>
      </x:c>
      <x:c r="G158" s="46" t="s">
        <x:v>31</x:v>
      </x:c>
      <x:c r="H158" s="47" t="s">
        <x:v>148</x:v>
      </x:c>
      <x:c r="I158" s="48" t="s">
        <x:v>149</x:v>
      </x:c>
      <x:c r="J158" s="45" t="s">
        <x:v>923</x:v>
      </x:c>
      <x:c r="K158" s="46" t="s">
        <x:v>924</x:v>
      </x:c>
      <x:c r="L158" s="45" t="s">
        <x:v>151</x:v>
      </x:c>
      <x:c r="M158" s="45" t="s">
        <x:v>152</x:v>
      </x:c>
      <x:c r="N158" s="49" t="s">
        <x:v>153</x:v>
      </x:c>
      <x:c r="O158" s="45" t="s">
        <x:v>679</x:v>
      </x:c>
      <x:c r="P158" s="46" t="s">
        <x:v>910</x:v>
      </x:c>
      <x:c r="Q158" s="45" t="s">
        <x:v>115</x:v>
      </x:c>
      <x:c r="R158" s="50" t="s">
        <x:v>925</x:v>
      </x:c>
      <x:c r="S158" s="46"/>
      <x:c r="T158" s="42" t="s">
        <x:v>30</x:v>
      </x:c>
      <x:c r="U158" s="43" t="s">
        <x:v>41</x:v>
      </x:c>
      <x:c r="V158" s="43" t="s">
        <x:v>682</x:v>
      </x:c>
      <x:c r="W158" s="8" t="str">
        <x:f>+VLOOKUP($A158,'TMS- NODE'!$A$6:$N$260,6,0)</x:f>
        <x:v>107.2146602,16.24270065</x:v>
      </x:c>
    </x:row>
    <x:row r="159">
      <x:c r="A159" s="34" t="s">
        <x:v>926</x:v>
      </x:c>
      <x:c r="B159" s="44" t="s">
        <x:v>927</x:v>
      </x:c>
      <x:c r="C159" s="45" t="s">
        <x:v>28</x:v>
      </x:c>
      <x:c r="D159" s="45" t="s">
        <x:v>29</x:v>
      </x:c>
      <x:c r="E159" s="46" t="s">
        <x:v>30</x:v>
      </x:c>
      <x:c r="F159" s="45" t="s">
        <x:v>29</x:v>
      </x:c>
      <x:c r="G159" s="46" t="s">
        <x:v>31</x:v>
      </x:c>
      <x:c r="H159" s="47" t="s">
        <x:v>280</x:v>
      </x:c>
      <x:c r="I159" s="48" t="s">
        <x:v>281</x:v>
      </x:c>
      <x:c r="J159" s="45" t="s">
        <x:v>927</x:v>
      </x:c>
      <x:c r="K159" s="46" t="s">
        <x:v>928</x:v>
      </x:c>
      <x:c r="L159" s="45" t="s">
        <x:v>283</x:v>
      </x:c>
      <x:c r="M159" s="45" t="s">
        <x:v>284</x:v>
      </x:c>
      <x:c r="N159" s="49" t="s">
        <x:v>285</x:v>
      </x:c>
      <x:c r="O159" s="45" t="s">
        <x:v>679</x:v>
      </x:c>
      <x:c r="P159" s="46" t="s">
        <x:v>929</x:v>
      </x:c>
      <x:c r="Q159" s="45" t="s">
        <x:v>115</x:v>
      </x:c>
      <x:c r="R159" s="50" t="s">
        <x:v>930</x:v>
      </x:c>
      <x:c r="S159" s="46"/>
      <x:c r="T159" s="42" t="s">
        <x:v>30</x:v>
      </x:c>
      <x:c r="U159" s="43" t="s">
        <x:v>41</x:v>
      </x:c>
      <x:c r="V159" s="43" t="s">
        <x:v>682</x:v>
      </x:c>
      <x:c r="W159" s="8" t="str">
        <x:f>+VLOOKUP($A159,'TMS- NODE'!$A$6:$N$260,6,0)</x:f>
        <x:v>107.2393566,16.2355481</x:v>
      </x:c>
    </x:row>
    <x:row r="160">
      <x:c r="A160" s="34" t="s">
        <x:v>931</x:v>
      </x:c>
      <x:c r="B160" s="44" t="s">
        <x:v>932</x:v>
      </x:c>
      <x:c r="C160" s="45" t="s">
        <x:v>28</x:v>
      </x:c>
      <x:c r="D160" s="45" t="s">
        <x:v>29</x:v>
      </x:c>
      <x:c r="E160" s="46" t="s">
        <x:v>30</x:v>
      </x:c>
      <x:c r="F160" s="45" t="s">
        <x:v>29</x:v>
      </x:c>
      <x:c r="G160" s="46" t="s">
        <x:v>31</x:v>
      </x:c>
      <x:c r="H160" s="47" t="s">
        <x:v>280</x:v>
      </x:c>
      <x:c r="I160" s="48" t="s">
        <x:v>281</x:v>
      </x:c>
      <x:c r="J160" s="45" t="s">
        <x:v>932</x:v>
      </x:c>
      <x:c r="K160" s="46" t="s">
        <x:v>933</x:v>
      </x:c>
      <x:c r="L160" s="45" t="s">
        <x:v>283</x:v>
      </x:c>
      <x:c r="M160" s="45" t="s">
        <x:v>284</x:v>
      </x:c>
      <x:c r="N160" s="49" t="s">
        <x:v>285</x:v>
      </x:c>
      <x:c r="O160" s="45" t="s">
        <x:v>679</x:v>
      </x:c>
      <x:c r="P160" s="46" t="s">
        <x:v>934</x:v>
      </x:c>
      <x:c r="Q160" s="45" t="s">
        <x:v>115</x:v>
      </x:c>
      <x:c r="R160" s="50" t="s">
        <x:v>935</x:v>
      </x:c>
      <x:c r="S160" s="46"/>
      <x:c r="T160" s="42" t="s">
        <x:v>30</x:v>
      </x:c>
      <x:c r="U160" s="43" t="s">
        <x:v>41</x:v>
      </x:c>
      <x:c r="V160" s="43" t="s">
        <x:v>682</x:v>
      </x:c>
      <x:c r="W160" s="8" t="str">
        <x:f>+VLOOKUP($A160,'TMS- NODE'!$A$6:$N$260,6,0)</x:f>
        <x:v>107.2621004,16.2300846</x:v>
      </x:c>
    </x:row>
    <x:row r="161">
      <x:c r="A161" s="34" t="s">
        <x:v>936</x:v>
      </x:c>
      <x:c r="B161" s="44" t="s">
        <x:v>937</x:v>
      </x:c>
      <x:c r="C161" s="45" t="s">
        <x:v>28</x:v>
      </x:c>
      <x:c r="D161" s="45" t="s">
        <x:v>29</x:v>
      </x:c>
      <x:c r="E161" s="46" t="s">
        <x:v>30</x:v>
      </x:c>
      <x:c r="F161" s="45" t="s">
        <x:v>29</x:v>
      </x:c>
      <x:c r="G161" s="46" t="s">
        <x:v>31</x:v>
      </x:c>
      <x:c r="H161" s="47" t="s">
        <x:v>280</x:v>
      </x:c>
      <x:c r="I161" s="48" t="s">
        <x:v>281</x:v>
      </x:c>
      <x:c r="J161" s="45" t="s">
        <x:v>937</x:v>
      </x:c>
      <x:c r="K161" s="46" t="s">
        <x:v>938</x:v>
      </x:c>
      <x:c r="L161" s="45" t="s">
        <x:v>939</x:v>
      </x:c>
      <x:c r="M161" s="45" t="s">
        <x:v>940</x:v>
      </x:c>
      <x:c r="N161" s="49" t="s">
        <x:v>941</x:v>
      </x:c>
      <x:c r="O161" s="45" t="s">
        <x:v>679</x:v>
      </x:c>
      <x:c r="P161" s="46" t="s">
        <x:v>942</x:v>
      </x:c>
      <x:c r="Q161" s="45" t="s">
        <x:v>115</x:v>
      </x:c>
      <x:c r="R161" s="50" t="s">
        <x:v>943</x:v>
      </x:c>
      <x:c r="S161" s="46"/>
      <x:c r="T161" s="42" t="s">
        <x:v>30</x:v>
      </x:c>
      <x:c r="U161" s="43" t="s">
        <x:v>41</x:v>
      </x:c>
      <x:c r="V161" s="43" t="s">
        <x:v>682</x:v>
      </x:c>
      <x:c r="W161" s="8" t="str">
        <x:f>+VLOOKUP($A161,'TMS- NODE'!$A$6:$N$260,6,0)</x:f>
        <x:v>107.3268715,16.11279518</x:v>
      </x:c>
    </x:row>
    <x:row r="162">
      <x:c r="A162" s="34" t="s">
        <x:v>944</x:v>
      </x:c>
      <x:c r="B162" s="44" t="s">
        <x:v>945</x:v>
      </x:c>
      <x:c r="C162" s="45" t="s">
        <x:v>28</x:v>
      </x:c>
      <x:c r="D162" s="45" t="s">
        <x:v>29</x:v>
      </x:c>
      <x:c r="E162" s="46" t="s">
        <x:v>30</x:v>
      </x:c>
      <x:c r="F162" s="45" t="s">
        <x:v>29</x:v>
      </x:c>
      <x:c r="G162" s="46" t="s">
        <x:v>31</x:v>
      </x:c>
      <x:c r="H162" s="47" t="s">
        <x:v>148</x:v>
      </x:c>
      <x:c r="I162" s="48" t="s">
        <x:v>149</x:v>
      </x:c>
      <x:c r="J162" s="45" t="s">
        <x:v>945</x:v>
      </x:c>
      <x:c r="K162" s="46" t="s">
        <x:v>946</x:v>
      </x:c>
      <x:c r="L162" s="45" t="s">
        <x:v>151</x:v>
      </x:c>
      <x:c r="M162" s="45" t="s">
        <x:v>152</x:v>
      </x:c>
      <x:c r="N162" s="49" t="s">
        <x:v>153</x:v>
      </x:c>
      <x:c r="O162" s="45" t="s">
        <x:v>679</x:v>
      </x:c>
      <x:c r="P162" s="46" t="s">
        <x:v>947</x:v>
      </x:c>
      <x:c r="Q162" s="45" t="s">
        <x:v>115</x:v>
      </x:c>
      <x:c r="R162" s="50" t="s">
        <x:v>948</x:v>
      </x:c>
      <x:c r="S162" s="46"/>
      <x:c r="T162" s="42" t="s">
        <x:v>30</x:v>
      </x:c>
      <x:c r="U162" s="43" t="s">
        <x:v>41</x:v>
      </x:c>
      <x:c r="V162" s="43" t="s">
        <x:v>682</x:v>
      </x:c>
      <x:c r="W162" s="8" t="str">
        <x:f>+VLOOKUP($A162,'TMS- NODE'!$A$6:$N$260,6,0)</x:f>
        <x:v>107.2420508,16.25947312</x:v>
      </x:c>
    </x:row>
    <x:row r="163">
      <x:c r="A163" s="34" t="s">
        <x:v>949</x:v>
      </x:c>
      <x:c r="B163" s="44" t="s">
        <x:v>950</x:v>
      </x:c>
      <x:c r="C163" s="45" t="s">
        <x:v>28</x:v>
      </x:c>
      <x:c r="D163" s="45" t="s">
        <x:v>29</x:v>
      </x:c>
      <x:c r="E163" s="46" t="s">
        <x:v>30</x:v>
      </x:c>
      <x:c r="F163" s="45" t="s">
        <x:v>29</x:v>
      </x:c>
      <x:c r="G163" s="46" t="s">
        <x:v>31</x:v>
      </x:c>
      <x:c r="H163" s="47" t="s">
        <x:v>280</x:v>
      </x:c>
      <x:c r="I163" s="48" t="s">
        <x:v>281</x:v>
      </x:c>
      <x:c r="J163" s="45" t="s">
        <x:v>950</x:v>
      </x:c>
      <x:c r="K163" s="46" t="s">
        <x:v>951</x:v>
      </x:c>
      <x:c r="L163" s="45" t="s">
        <x:v>283</x:v>
      </x:c>
      <x:c r="M163" s="45" t="s">
        <x:v>284</x:v>
      </x:c>
      <x:c r="N163" s="49" t="s">
        <x:v>285</x:v>
      </x:c>
      <x:c r="O163" s="45" t="s">
        <x:v>679</x:v>
      </x:c>
      <x:c r="P163" s="46" t="s">
        <x:v>952</x:v>
      </x:c>
      <x:c r="Q163" s="45" t="s">
        <x:v>115</x:v>
      </x:c>
      <x:c r="R163" s="50" t="s">
        <x:v>953</x:v>
      </x:c>
      <x:c r="S163" s="46"/>
      <x:c r="T163" s="42" t="s">
        <x:v>30</x:v>
      </x:c>
      <x:c r="U163" s="43" t="s">
        <x:v>41</x:v>
      </x:c>
      <x:c r="V163" s="43" t="s">
        <x:v>682</x:v>
      </x:c>
      <x:c r="W163" s="8" t="str">
        <x:f>+VLOOKUP($A163,'TMS- NODE'!$A$6:$N$260,6,0)</x:f>
        <x:v>107.255084,16.24818377</x:v>
      </x:c>
    </x:row>
    <x:row r="164">
      <x:c r="A164" s="34" t="s">
        <x:v>954</x:v>
      </x:c>
      <x:c r="B164" s="44" t="s">
        <x:v>955</x:v>
      </x:c>
      <x:c r="C164" s="45" t="s">
        <x:v>28</x:v>
      </x:c>
      <x:c r="D164" s="45" t="s">
        <x:v>29</x:v>
      </x:c>
      <x:c r="E164" s="46" t="s">
        <x:v>30</x:v>
      </x:c>
      <x:c r="F164" s="45" t="s">
        <x:v>29</x:v>
      </x:c>
      <x:c r="G164" s="46" t="s">
        <x:v>31</x:v>
      </x:c>
      <x:c r="H164" s="47" t="s">
        <x:v>280</x:v>
      </x:c>
      <x:c r="I164" s="48" t="s">
        <x:v>281</x:v>
      </x:c>
      <x:c r="J164" s="45" t="s">
        <x:v>955</x:v>
      </x:c>
      <x:c r="K164" s="46" t="s">
        <x:v>956</x:v>
      </x:c>
      <x:c r="L164" s="45" t="s">
        <x:v>283</x:v>
      </x:c>
      <x:c r="M164" s="45" t="s">
        <x:v>284</x:v>
      </x:c>
      <x:c r="N164" s="49" t="s">
        <x:v>285</x:v>
      </x:c>
      <x:c r="O164" s="45" t="s">
        <x:v>679</x:v>
      </x:c>
      <x:c r="P164" s="46" t="s">
        <x:v>957</x:v>
      </x:c>
      <x:c r="Q164" s="45" t="s">
        <x:v>115</x:v>
      </x:c>
      <x:c r="R164" s="50" t="s">
        <x:v>958</x:v>
      </x:c>
      <x:c r="S164" s="46"/>
      <x:c r="T164" s="42" t="s">
        <x:v>30</x:v>
      </x:c>
      <x:c r="U164" s="43" t="s">
        <x:v>41</x:v>
      </x:c>
      <x:c r="V164" s="43" t="s">
        <x:v>682</x:v>
      </x:c>
      <x:c r="W164" s="8" t="str">
        <x:f>+VLOOKUP($A164,'TMS- NODE'!$A$6:$N$260,6,0)</x:f>
        <x:v>107.2762504,16.22333073</x:v>
      </x:c>
    </x:row>
    <x:row r="165">
      <x:c r="A165" s="34" t="s">
        <x:v>959</x:v>
      </x:c>
      <x:c r="B165" s="44" t="s">
        <x:v>960</x:v>
      </x:c>
      <x:c r="C165" s="45" t="s">
        <x:v>28</x:v>
      </x:c>
      <x:c r="D165" s="45" t="s">
        <x:v>29</x:v>
      </x:c>
      <x:c r="E165" s="46" t="s">
        <x:v>30</x:v>
      </x:c>
      <x:c r="F165" s="45" t="s">
        <x:v>29</x:v>
      </x:c>
      <x:c r="G165" s="46" t="s">
        <x:v>31</x:v>
      </x:c>
      <x:c r="H165" s="47" t="s">
        <x:v>280</x:v>
      </x:c>
      <x:c r="I165" s="48" t="s">
        <x:v>281</x:v>
      </x:c>
      <x:c r="J165" s="45" t="s">
        <x:v>960</x:v>
      </x:c>
      <x:c r="K165" s="46" t="s">
        <x:v>843</x:v>
      </x:c>
      <x:c r="L165" s="45" t="s">
        <x:v>939</x:v>
      </x:c>
      <x:c r="M165" s="45" t="s">
        <x:v>940</x:v>
      </x:c>
      <x:c r="N165" s="49" t="s">
        <x:v>941</x:v>
      </x:c>
      <x:c r="O165" s="45" t="s">
        <x:v>679</x:v>
      </x:c>
      <x:c r="P165" s="46" t="s">
        <x:v>961</x:v>
      </x:c>
      <x:c r="Q165" s="45" t="s">
        <x:v>115</x:v>
      </x:c>
      <x:c r="R165" s="50" t="s">
        <x:v>962</x:v>
      </x:c>
      <x:c r="S165" s="46"/>
      <x:c r="T165" s="42" t="s">
        <x:v>30</x:v>
      </x:c>
      <x:c r="U165" s="43" t="s">
        <x:v>41</x:v>
      </x:c>
      <x:c r="V165" s="43" t="s">
        <x:v>682</x:v>
      </x:c>
      <x:c r="W165" s="8" t="str">
        <x:f>+VLOOKUP($A165,'TMS- NODE'!$A$6:$N$260,6,0)</x:f>
        <x:v>107.3084959,16.17967533</x:v>
      </x:c>
    </x:row>
    <x:row r="166">
      <x:c r="A166" s="34" t="s">
        <x:v>963</x:v>
      </x:c>
      <x:c r="B166" s="44" t="s">
        <x:v>964</x:v>
      </x:c>
      <x:c r="C166" s="45" t="s">
        <x:v>28</x:v>
      </x:c>
      <x:c r="D166" s="45" t="s">
        <x:v>29</x:v>
      </x:c>
      <x:c r="E166" s="46" t="s">
        <x:v>30</x:v>
      </x:c>
      <x:c r="F166" s="45" t="s">
        <x:v>29</x:v>
      </x:c>
      <x:c r="G166" s="46" t="s">
        <x:v>31</x:v>
      </x:c>
      <x:c r="H166" s="47" t="s">
        <x:v>280</x:v>
      </x:c>
      <x:c r="I166" s="48" t="s">
        <x:v>281</x:v>
      </x:c>
      <x:c r="J166" s="45" t="s">
        <x:v>964</x:v>
      </x:c>
      <x:c r="K166" s="46" t="s">
        <x:v>562</x:v>
      </x:c>
      <x:c r="L166" s="45" t="s">
        <x:v>939</x:v>
      </x:c>
      <x:c r="M166" s="45" t="s">
        <x:v>940</x:v>
      </x:c>
      <x:c r="N166" s="49" t="s">
        <x:v>941</x:v>
      </x:c>
      <x:c r="O166" s="45" t="s">
        <x:v>679</x:v>
      </x:c>
      <x:c r="P166" s="46" t="s">
        <x:v>965</x:v>
      </x:c>
      <x:c r="Q166" s="45" t="s">
        <x:v>115</x:v>
      </x:c>
      <x:c r="R166" s="50" t="s">
        <x:v>966</x:v>
      </x:c>
      <x:c r="S166" s="46"/>
      <x:c r="T166" s="42" t="s">
        <x:v>30</x:v>
      </x:c>
      <x:c r="U166" s="43" t="s">
        <x:v>41</x:v>
      </x:c>
      <x:c r="V166" s="43" t="s">
        <x:v>682</x:v>
      </x:c>
      <x:c r="W166" s="8" t="str">
        <x:f>+VLOOKUP($A166,'TMS- NODE'!$A$6:$N$260,6,0)</x:f>
        <x:v>107.3501063,16.11205669</x:v>
      </x:c>
    </x:row>
    <x:row r="167">
      <x:c r="A167" s="34" t="s">
        <x:v>967</x:v>
      </x:c>
      <x:c r="B167" s="44" t="s">
        <x:v>968</x:v>
      </x:c>
      <x:c r="C167" s="45" t="s">
        <x:v>28</x:v>
      </x:c>
      <x:c r="D167" s="45" t="s">
        <x:v>29</x:v>
      </x:c>
      <x:c r="E167" s="46" t="s">
        <x:v>30</x:v>
      </x:c>
      <x:c r="F167" s="45" t="s">
        <x:v>29</x:v>
      </x:c>
      <x:c r="G167" s="46" t="s">
        <x:v>31</x:v>
      </x:c>
      <x:c r="H167" s="47" t="s">
        <x:v>280</x:v>
      </x:c>
      <x:c r="I167" s="48" t="s">
        <x:v>281</x:v>
      </x:c>
      <x:c r="J167" s="45" t="s">
        <x:v>968</x:v>
      </x:c>
      <x:c r="K167" s="46" t="s">
        <x:v>969</x:v>
      </x:c>
      <x:c r="L167" s="45" t="s">
        <x:v>939</x:v>
      </x:c>
      <x:c r="M167" s="45" t="s">
        <x:v>940</x:v>
      </x:c>
      <x:c r="N167" s="49" t="s">
        <x:v>941</x:v>
      </x:c>
      <x:c r="O167" s="45" t="s">
        <x:v>679</x:v>
      </x:c>
      <x:c r="P167" s="46" t="s">
        <x:v>970</x:v>
      </x:c>
      <x:c r="Q167" s="45" t="s">
        <x:v>115</x:v>
      </x:c>
      <x:c r="R167" s="50" t="s">
        <x:v>971</x:v>
      </x:c>
      <x:c r="S167" s="46"/>
      <x:c r="T167" s="42" t="s">
        <x:v>30</x:v>
      </x:c>
      <x:c r="U167" s="43" t="s">
        <x:v>41</x:v>
      </x:c>
      <x:c r="V167" s="43" t="s">
        <x:v>682</x:v>
      </x:c>
      <x:c r="W167" s="8" t="str">
        <x:f>+VLOOKUP($A167,'TMS- NODE'!$A$6:$N$260,6,0)</x:f>
        <x:v>107.3977968,16.11352999</x:v>
      </x:c>
    </x:row>
    <x:row r="168">
      <x:c r="A168" s="34" t="s">
        <x:v>972</x:v>
      </x:c>
      <x:c r="B168" s="44" t="s">
        <x:v>973</x:v>
      </x:c>
      <x:c r="C168" s="45" t="s">
        <x:v>28</x:v>
      </x:c>
      <x:c r="D168" s="45" t="s">
        <x:v>29</x:v>
      </x:c>
      <x:c r="E168" s="46" t="s">
        <x:v>30</x:v>
      </x:c>
      <x:c r="F168" s="45" t="s">
        <x:v>29</x:v>
      </x:c>
      <x:c r="G168" s="46" t="s">
        <x:v>31</x:v>
      </x:c>
      <x:c r="H168" s="47" t="s">
        <x:v>280</x:v>
      </x:c>
      <x:c r="I168" s="48" t="s">
        <x:v>281</x:v>
      </x:c>
      <x:c r="J168" s="45" t="s">
        <x:v>973</x:v>
      </x:c>
      <x:c r="K168" s="46" t="s">
        <x:v>974</x:v>
      </x:c>
      <x:c r="L168" s="45" t="s">
        <x:v>975</x:v>
      </x:c>
      <x:c r="M168" s="45" t="s">
        <x:v>976</x:v>
      </x:c>
      <x:c r="N168" s="49" t="s">
        <x:v>977</x:v>
      </x:c>
      <x:c r="O168" s="45" t="s">
        <x:v>679</x:v>
      </x:c>
      <x:c r="P168" s="46" t="s">
        <x:v>978</x:v>
      </x:c>
      <x:c r="Q168" s="45" t="s">
        <x:v>115</x:v>
      </x:c>
      <x:c r="R168" s="50" t="s">
        <x:v>979</x:v>
      </x:c>
      <x:c r="S168" s="46"/>
      <x:c r="T168" s="42" t="s">
        <x:v>30</x:v>
      </x:c>
      <x:c r="U168" s="43" t="s">
        <x:v>41</x:v>
      </x:c>
      <x:c r="V168" s="43" t="s">
        <x:v>682</x:v>
      </x:c>
      <x:c r="W168" s="8" t="str">
        <x:f>+VLOOKUP($A168,'TMS- NODE'!$A$6:$N$260,6,0)</x:f>
        <x:v>107.335912,16.30102177</x:v>
      </x:c>
    </x:row>
    <x:row r="169">
      <x:c r="A169" s="34" t="s">
        <x:v>980</x:v>
      </x:c>
      <x:c r="B169" s="44" t="s">
        <x:v>981</x:v>
      </x:c>
      <x:c r="C169" s="45" t="s">
        <x:v>28</x:v>
      </x:c>
      <x:c r="D169" s="45" t="s">
        <x:v>29</x:v>
      </x:c>
      <x:c r="E169" s="46" t="s">
        <x:v>30</x:v>
      </x:c>
      <x:c r="F169" s="45" t="s">
        <x:v>29</x:v>
      </x:c>
      <x:c r="G169" s="46" t="s">
        <x:v>31</x:v>
      </x:c>
      <x:c r="H169" s="47" t="s">
        <x:v>280</x:v>
      </x:c>
      <x:c r="I169" s="48" t="s">
        <x:v>281</x:v>
      </x:c>
      <x:c r="J169" s="45" t="s">
        <x:v>981</x:v>
      </x:c>
      <x:c r="K169" s="46" t="s">
        <x:v>982</x:v>
      </x:c>
      <x:c r="L169" s="45" t="s">
        <x:v>975</x:v>
      </x:c>
      <x:c r="M169" s="45" t="s">
        <x:v>976</x:v>
      </x:c>
      <x:c r="N169" s="49" t="s">
        <x:v>977</x:v>
      </x:c>
      <x:c r="O169" s="45" t="s">
        <x:v>679</x:v>
      </x:c>
      <x:c r="P169" s="46" t="s">
        <x:v>983</x:v>
      </x:c>
      <x:c r="Q169" s="45" t="s">
        <x:v>115</x:v>
      </x:c>
      <x:c r="R169" s="50" t="s">
        <x:v>984</x:v>
      </x:c>
      <x:c r="S169" s="46"/>
      <x:c r="T169" s="42" t="s">
        <x:v>30</x:v>
      </x:c>
      <x:c r="U169" s="43" t="s">
        <x:v>41</x:v>
      </x:c>
      <x:c r="V169" s="43" t="s">
        <x:v>682</x:v>
      </x:c>
      <x:c r="W169" s="8" t="str">
        <x:f>+VLOOKUP($A169,'TMS- NODE'!$A$6:$N$260,6,0)</x:f>
        <x:v>107.3866645,16.30476579</x:v>
      </x:c>
    </x:row>
    <x:row r="170">
      <x:c r="A170" s="34" t="s">
        <x:v>985</x:v>
      </x:c>
      <x:c r="B170" s="44" t="s">
        <x:v>986</x:v>
      </x:c>
      <x:c r="C170" s="45" t="s">
        <x:v>28</x:v>
      </x:c>
      <x:c r="D170" s="45" t="s">
        <x:v>29</x:v>
      </x:c>
      <x:c r="E170" s="46" t="s">
        <x:v>30</x:v>
      </x:c>
      <x:c r="F170" s="45" t="s">
        <x:v>29</x:v>
      </x:c>
      <x:c r="G170" s="46" t="s">
        <x:v>31</x:v>
      </x:c>
      <x:c r="H170" s="47" t="s">
        <x:v>148</x:v>
      </x:c>
      <x:c r="I170" s="48" t="s">
        <x:v>149</x:v>
      </x:c>
      <x:c r="J170" s="45" t="s">
        <x:v>986</x:v>
      </x:c>
      <x:c r="K170" s="46" t="s">
        <x:v>987</x:v>
      </x:c>
      <x:c r="L170" s="45" t="s">
        <x:v>903</x:v>
      </x:c>
      <x:c r="M170" s="45" t="s">
        <x:v>904</x:v>
      </x:c>
      <x:c r="N170" s="49" t="s">
        <x:v>905</x:v>
      </x:c>
      <x:c r="O170" s="45" t="s">
        <x:v>679</x:v>
      </x:c>
      <x:c r="P170" s="46" t="s">
        <x:v>39</x:v>
      </x:c>
      <x:c r="Q170" s="45" t="s">
        <x:v>115</x:v>
      </x:c>
      <x:c r="R170" s="50" t="s">
        <x:v>988</x:v>
      </x:c>
      <x:c r="S170" s="46"/>
      <x:c r="T170" s="42" t="s">
        <x:v>30</x:v>
      </x:c>
      <x:c r="U170" s="43" t="s">
        <x:v>41</x:v>
      </x:c>
      <x:c r="V170" s="43" t="s">
        <x:v>682</x:v>
      </x:c>
      <x:c r="W170" s="8" t="str">
        <x:f>+VLOOKUP($A170,'TMS- NODE'!$A$6:$N$260,6,0)</x:f>
        <x:v>107.0496051,16.3811421</x:v>
      </x:c>
    </x:row>
    <x:row r="171">
      <x:c r="A171" s="34" t="s">
        <x:v>989</x:v>
      </x:c>
      <x:c r="B171" s="44" t="s">
        <x:v>990</x:v>
      </x:c>
      <x:c r="C171" s="45" t="s">
        <x:v>28</x:v>
      </x:c>
      <x:c r="D171" s="45" t="s">
        <x:v>29</x:v>
      </x:c>
      <x:c r="E171" s="46" t="s">
        <x:v>30</x:v>
      </x:c>
      <x:c r="F171" s="45" t="s">
        <x:v>29</x:v>
      </x:c>
      <x:c r="G171" s="46" t="s">
        <x:v>31</x:v>
      </x:c>
      <x:c r="H171" s="47" t="s">
        <x:v>991</x:v>
      </x:c>
      <x:c r="I171" s="48" t="s">
        <x:v>992</x:v>
      </x:c>
      <x:c r="J171" s="45" t="s">
        <x:v>990</x:v>
      </x:c>
      <x:c r="K171" s="46" t="s">
        <x:v>993</x:v>
      </x:c>
      <x:c r="L171" s="45" t="s">
        <x:v>994</x:v>
      </x:c>
      <x:c r="M171" s="45" t="s">
        <x:v>995</x:v>
      </x:c>
      <x:c r="N171" s="49" t="s">
        <x:v>996</x:v>
      </x:c>
      <x:c r="O171" s="45" t="s">
        <x:v>679</x:v>
      </x:c>
      <x:c r="P171" s="46" t="s">
        <x:v>997</x:v>
      </x:c>
      <x:c r="Q171" s="45" t="s">
        <x:v>115</x:v>
      </x:c>
      <x:c r="R171" s="50" t="s">
        <x:v>998</x:v>
      </x:c>
      <x:c r="S171" s="46"/>
      <x:c r="T171" s="42" t="s">
        <x:v>30</x:v>
      </x:c>
      <x:c r="U171" s="43" t="s">
        <x:v>41</x:v>
      </x:c>
      <x:c r="V171" s="43" t="s">
        <x:v>682</x:v>
      </x:c>
      <x:c r="W171" s="8" t="str">
        <x:f>+VLOOKUP($A171,'TMS- NODE'!$A$6:$N$260,6,0)</x:f>
        <x:v>107.7146575,16.40460438</x:v>
      </x:c>
    </x:row>
    <x:row r="172">
      <x:c r="A172" s="34" t="s">
        <x:v>999</x:v>
      </x:c>
      <x:c r="B172" s="44" t="s">
        <x:v>1000</x:v>
      </x:c>
      <x:c r="C172" s="45" t="s">
        <x:v>28</x:v>
      </x:c>
      <x:c r="D172" s="45" t="s">
        <x:v>29</x:v>
      </x:c>
      <x:c r="E172" s="46" t="s">
        <x:v>30</x:v>
      </x:c>
      <x:c r="F172" s="45" t="s">
        <x:v>29</x:v>
      </x:c>
      <x:c r="G172" s="46" t="s">
        <x:v>31</x:v>
      </x:c>
      <x:c r="H172" s="47" t="s">
        <x:v>991</x:v>
      </x:c>
      <x:c r="I172" s="48" t="s">
        <x:v>992</x:v>
      </x:c>
      <x:c r="J172" s="45" t="s">
        <x:v>1000</x:v>
      </x:c>
      <x:c r="K172" s="46" t="s">
        <x:v>1001</x:v>
      </x:c>
      <x:c r="L172" s="45" t="s">
        <x:v>994</x:v>
      </x:c>
      <x:c r="M172" s="45" t="s">
        <x:v>995</x:v>
      </x:c>
      <x:c r="N172" s="49" t="s">
        <x:v>996</x:v>
      </x:c>
      <x:c r="O172" s="45" t="s">
        <x:v>679</x:v>
      </x:c>
      <x:c r="P172" s="46" t="s">
        <x:v>1002</x:v>
      </x:c>
      <x:c r="Q172" s="45" t="s">
        <x:v>115</x:v>
      </x:c>
      <x:c r="R172" s="50" t="s">
        <x:v>1003</x:v>
      </x:c>
      <x:c r="S172" s="46"/>
      <x:c r="T172" s="42" t="s">
        <x:v>30</x:v>
      </x:c>
      <x:c r="U172" s="43" t="s">
        <x:v>41</x:v>
      </x:c>
      <x:c r="V172" s="43" t="s">
        <x:v>682</x:v>
      </x:c>
      <x:c r="W172" s="8" t="str">
        <x:f>+VLOOKUP($A172,'TMS- NODE'!$A$6:$N$260,6,0)</x:f>
        <x:v>107.695935,16.41764056</x:v>
      </x:c>
    </x:row>
    <x:row r="173">
      <x:c r="A173" s="34" t="s">
        <x:v>1004</x:v>
      </x:c>
      <x:c r="B173" s="44" t="s">
        <x:v>1005</x:v>
      </x:c>
      <x:c r="C173" s="45" t="s">
        <x:v>28</x:v>
      </x:c>
      <x:c r="D173" s="45" t="s">
        <x:v>29</x:v>
      </x:c>
      <x:c r="E173" s="46" t="s">
        <x:v>30</x:v>
      </x:c>
      <x:c r="F173" s="45" t="s">
        <x:v>29</x:v>
      </x:c>
      <x:c r="G173" s="46" t="s">
        <x:v>31</x:v>
      </x:c>
      <x:c r="H173" s="47" t="s">
        <x:v>991</x:v>
      </x:c>
      <x:c r="I173" s="48" t="s">
        <x:v>992</x:v>
      </x:c>
      <x:c r="J173" s="45" t="s">
        <x:v>1005</x:v>
      </x:c>
      <x:c r="K173" s="46" t="s">
        <x:v>498</x:v>
      </x:c>
      <x:c r="L173" s="45" t="s">
        <x:v>994</x:v>
      </x:c>
      <x:c r="M173" s="45" t="s">
        <x:v>995</x:v>
      </x:c>
      <x:c r="N173" s="49" t="s">
        <x:v>996</x:v>
      </x:c>
      <x:c r="O173" s="45" t="s">
        <x:v>679</x:v>
      </x:c>
      <x:c r="P173" s="46" t="s">
        <x:v>1006</x:v>
      </x:c>
      <x:c r="Q173" s="45" t="s">
        <x:v>115</x:v>
      </x:c>
      <x:c r="R173" s="50" t="s">
        <x:v>1007</x:v>
      </x:c>
      <x:c r="S173" s="46"/>
      <x:c r="T173" s="42" t="s">
        <x:v>30</x:v>
      </x:c>
      <x:c r="U173" s="43" t="s">
        <x:v>41</x:v>
      </x:c>
      <x:c r="V173" s="43" t="s">
        <x:v>682</x:v>
      </x:c>
      <x:c r="W173" s="8" t="str">
        <x:f>+VLOOKUP($A173,'TMS- NODE'!$A$6:$N$260,6,0)</x:f>
        <x:v>107.6676982,16.42006199</x:v>
      </x:c>
    </x:row>
    <x:row r="174">
      <x:c r="A174" s="34" t="s">
        <x:v>1008</x:v>
      </x:c>
      <x:c r="B174" s="44" t="s">
        <x:v>1009</x:v>
      </x:c>
      <x:c r="C174" s="45" t="s">
        <x:v>28</x:v>
      </x:c>
      <x:c r="D174" s="45" t="s">
        <x:v>29</x:v>
      </x:c>
      <x:c r="E174" s="46" t="s">
        <x:v>30</x:v>
      </x:c>
      <x:c r="F174" s="45" t="s">
        <x:v>29</x:v>
      </x:c>
      <x:c r="G174" s="46" t="s">
        <x:v>31</x:v>
      </x:c>
      <x:c r="H174" s="47" t="s">
        <x:v>290</x:v>
      </x:c>
      <x:c r="I174" s="48" t="s">
        <x:v>291</x:v>
      </x:c>
      <x:c r="J174" s="45" t="s">
        <x:v>1009</x:v>
      </x:c>
      <x:c r="K174" s="46" t="s">
        <x:v>1010</x:v>
      </x:c>
      <x:c r="L174" s="45" t="s">
        <x:v>293</x:v>
      </x:c>
      <x:c r="M174" s="45" t="s">
        <x:v>294</x:v>
      </x:c>
      <x:c r="N174" s="49" t="s">
        <x:v>295</x:v>
      </x:c>
      <x:c r="O174" s="45" t="s">
        <x:v>679</x:v>
      </x:c>
      <x:c r="P174" s="46" t="s">
        <x:v>1011</x:v>
      </x:c>
      <x:c r="Q174" s="45" t="s">
        <x:v>115</x:v>
      </x:c>
      <x:c r="R174" s="50" t="s">
        <x:v>1012</x:v>
      </x:c>
      <x:c r="S174" s="46"/>
      <x:c r="T174" s="42" t="s">
        <x:v>30</x:v>
      </x:c>
      <x:c r="U174" s="43" t="s">
        <x:v>41</x:v>
      </x:c>
      <x:c r="V174" s="43" t="s">
        <x:v>682</x:v>
      </x:c>
      <x:c r="W174" s="8" t="str">
        <x:f>+VLOOKUP($A174,'TMS- NODE'!$A$6:$N$260,6,0)</x:f>
        <x:v>107.643587,16.46609488</x:v>
      </x:c>
    </x:row>
    <x:row r="175">
      <x:c r="A175" s="34" t="s">
        <x:v>1013</x:v>
      </x:c>
      <x:c r="B175" s="44" t="s">
        <x:v>1014</x:v>
      </x:c>
      <x:c r="C175" s="45" t="s">
        <x:v>28</x:v>
      </x:c>
      <x:c r="D175" s="45" t="s">
        <x:v>29</x:v>
      </x:c>
      <x:c r="E175" s="46" t="s">
        <x:v>30</x:v>
      </x:c>
      <x:c r="F175" s="45" t="s">
        <x:v>29</x:v>
      </x:c>
      <x:c r="G175" s="46" t="s">
        <x:v>31</x:v>
      </x:c>
      <x:c r="H175" s="47" t="s">
        <x:v>1015</x:v>
      </x:c>
      <x:c r="I175" s="48" t="s">
        <x:v>1016</x:v>
      </x:c>
      <x:c r="J175" s="45" t="s">
        <x:v>1014</x:v>
      </x:c>
      <x:c r="K175" s="46" t="s">
        <x:v>1017</x:v>
      </x:c>
      <x:c r="L175" s="45" t="s">
        <x:v>74</x:v>
      </x:c>
      <x:c r="M175" s="45" t="s">
        <x:v>75</x:v>
      </x:c>
      <x:c r="N175" s="49" t="s">
        <x:v>76</x:v>
      </x:c>
      <x:c r="O175" s="45" t="s">
        <x:v>679</x:v>
      </x:c>
      <x:c r="P175" s="46" t="s">
        <x:v>1018</x:v>
      </x:c>
      <x:c r="Q175" s="45" t="s">
        <x:v>115</x:v>
      </x:c>
      <x:c r="R175" s="50" t="s">
        <x:v>1019</x:v>
      </x:c>
      <x:c r="S175" s="46"/>
      <x:c r="T175" s="42" t="s">
        <x:v>30</x:v>
      </x:c>
      <x:c r="U175" s="43" t="s">
        <x:v>41</x:v>
      </x:c>
      <x:c r="V175" s="43" t="s">
        <x:v>682</x:v>
      </x:c>
      <x:c r="W175" s="8" t="str">
        <x:f>+VLOOKUP($A175,'TMS- NODE'!$A$6:$N$260,6,0)</x:f>
        <x:v>107.605902,16.48335742</x:v>
      </x:c>
    </x:row>
    <x:row r="176">
      <x:c r="A176" s="34" t="s">
        <x:v>1020</x:v>
      </x:c>
      <x:c r="B176" s="44" t="s">
        <x:v>1021</x:v>
      </x:c>
      <x:c r="C176" s="45" t="s">
        <x:v>28</x:v>
      </x:c>
      <x:c r="D176" s="45" t="s">
        <x:v>29</x:v>
      </x:c>
      <x:c r="E176" s="46" t="s">
        <x:v>30</x:v>
      </x:c>
      <x:c r="F176" s="45" t="s">
        <x:v>29</x:v>
      </x:c>
      <x:c r="G176" s="46" t="s">
        <x:v>31</x:v>
      </x:c>
      <x:c r="H176" s="47" t="s">
        <x:v>290</x:v>
      </x:c>
      <x:c r="I176" s="48" t="s">
        <x:v>291</x:v>
      </x:c>
      <x:c r="J176" s="45" t="s">
        <x:v>1021</x:v>
      </x:c>
      <x:c r="K176" s="46" t="s">
        <x:v>1022</x:v>
      </x:c>
      <x:c r="L176" s="45" t="s">
        <x:v>293</x:v>
      </x:c>
      <x:c r="M176" s="45" t="s">
        <x:v>294</x:v>
      </x:c>
      <x:c r="N176" s="49" t="s">
        <x:v>295</x:v>
      </x:c>
      <x:c r="O176" s="45" t="s">
        <x:v>679</x:v>
      </x:c>
      <x:c r="P176" s="46" t="s">
        <x:v>1023</x:v>
      </x:c>
      <x:c r="Q176" s="45" t="s">
        <x:v>115</x:v>
      </x:c>
      <x:c r="R176" s="50" t="s">
        <x:v>1024</x:v>
      </x:c>
      <x:c r="S176" s="46"/>
      <x:c r="T176" s="42" t="s">
        <x:v>30</x:v>
      </x:c>
      <x:c r="U176" s="43" t="s">
        <x:v>41</x:v>
      </x:c>
      <x:c r="V176" s="43" t="s">
        <x:v>682</x:v>
      </x:c>
      <x:c r="W176" s="8" t="str">
        <x:f>+VLOOKUP($A176,'TMS- NODE'!$A$6:$N$260,6,0)</x:f>
        <x:v>107.6356419,16.43252764</x:v>
      </x:c>
    </x:row>
    <x:row r="177">
      <x:c r="A177" s="34" t="s">
        <x:v>1025</x:v>
      </x:c>
      <x:c r="B177" s="44" t="s">
        <x:v>1026</x:v>
      </x:c>
      <x:c r="C177" s="45" t="s">
        <x:v>28</x:v>
      </x:c>
      <x:c r="D177" s="45" t="s">
        <x:v>29</x:v>
      </x:c>
      <x:c r="E177" s="46" t="s">
        <x:v>30</x:v>
      </x:c>
      <x:c r="F177" s="45" t="s">
        <x:v>29</x:v>
      </x:c>
      <x:c r="G177" s="46" t="s">
        <x:v>31</x:v>
      </x:c>
      <x:c r="H177" s="47" t="s">
        <x:v>690</x:v>
      </x:c>
      <x:c r="I177" s="48" t="s">
        <x:v>691</x:v>
      </x:c>
      <x:c r="J177" s="45" t="s">
        <x:v>1026</x:v>
      </x:c>
      <x:c r="K177" s="46" t="s">
        <x:v>1027</x:v>
      </x:c>
      <x:c r="L177" s="45" t="s">
        <x:v>693</x:v>
      </x:c>
      <x:c r="M177" s="45" t="s">
        <x:v>694</x:v>
      </x:c>
      <x:c r="N177" s="49" t="s">
        <x:v>695</x:v>
      </x:c>
      <x:c r="O177" s="45" t="s">
        <x:v>679</x:v>
      </x:c>
      <x:c r="P177" s="46" t="s">
        <x:v>1028</x:v>
      </x:c>
      <x:c r="Q177" s="45" t="s">
        <x:v>115</x:v>
      </x:c>
      <x:c r="R177" s="50" t="s">
        <x:v>1029</x:v>
      </x:c>
      <x:c r="S177" s="46"/>
      <x:c r="T177" s="42" t="s">
        <x:v>30</x:v>
      </x:c>
      <x:c r="U177" s="43" t="s">
        <x:v>41</x:v>
      </x:c>
      <x:c r="V177" s="43" t="s">
        <x:v>682</x:v>
      </x:c>
      <x:c r="W177" s="8" t="str">
        <x:f>+VLOOKUP($A177,'TMS- NODE'!$A$6:$N$260,6,0)</x:f>
        <x:v>107.5803352,16.3945898</x:v>
      </x:c>
    </x:row>
    <x:row r="178">
      <x:c r="A178" s="34" t="s">
        <x:v>1030</x:v>
      </x:c>
      <x:c r="B178" s="44" t="s">
        <x:v>1031</x:v>
      </x:c>
      <x:c r="C178" s="45" t="s">
        <x:v>28</x:v>
      </x:c>
      <x:c r="D178" s="45" t="s">
        <x:v>29</x:v>
      </x:c>
      <x:c r="E178" s="46" t="s">
        <x:v>30</x:v>
      </x:c>
      <x:c r="F178" s="45" t="s">
        <x:v>29</x:v>
      </x:c>
      <x:c r="G178" s="46" t="s">
        <x:v>31</x:v>
      </x:c>
      <x:c r="H178" s="47" t="s">
        <x:v>45</x:v>
      </x:c>
      <x:c r="I178" s="48" t="s">
        <x:v>46</x:v>
      </x:c>
      <x:c r="J178" s="45" t="s">
        <x:v>1031</x:v>
      </x:c>
      <x:c r="K178" s="46" t="s">
        <x:v>1032</x:v>
      </x:c>
      <x:c r="L178" s="45" t="s">
        <x:v>48</x:v>
      </x:c>
      <x:c r="M178" s="45" t="s">
        <x:v>49</x:v>
      </x:c>
      <x:c r="N178" s="49" t="s">
        <x:v>50</x:v>
      </x:c>
      <x:c r="O178" s="45" t="s">
        <x:v>679</x:v>
      </x:c>
      <x:c r="P178" s="46" t="s">
        <x:v>1033</x:v>
      </x:c>
      <x:c r="Q178" s="45" t="s">
        <x:v>115</x:v>
      </x:c>
      <x:c r="R178" s="50" t="s">
        <x:v>1034</x:v>
      </x:c>
      <x:c r="S178" s="46"/>
      <x:c r="T178" s="42" t="s">
        <x:v>30</x:v>
      </x:c>
      <x:c r="U178" s="43" t="s">
        <x:v>41</x:v>
      </x:c>
      <x:c r="V178" s="43" t="s">
        <x:v>682</x:v>
      </x:c>
      <x:c r="W178" s="8" t="str">
        <x:f>+VLOOKUP($A178,'TMS- NODE'!$A$6:$N$260,6,0)</x:f>
        <x:v>107.6236756,16.32731524</x:v>
      </x:c>
    </x:row>
    <x:row r="179">
      <x:c r="A179" s="34" t="s">
        <x:v>1035</x:v>
      </x:c>
      <x:c r="B179" s="44" t="s">
        <x:v>1036</x:v>
      </x:c>
      <x:c r="C179" s="45" t="s">
        <x:v>28</x:v>
      </x:c>
      <x:c r="D179" s="45" t="s">
        <x:v>29</x:v>
      </x:c>
      <x:c r="E179" s="46" t="s">
        <x:v>30</x:v>
      </x:c>
      <x:c r="F179" s="45" t="s">
        <x:v>29</x:v>
      </x:c>
      <x:c r="G179" s="46" t="s">
        <x:v>31</x:v>
      </x:c>
      <x:c r="H179" s="47" t="s">
        <x:v>45</x:v>
      </x:c>
      <x:c r="I179" s="48" t="s">
        <x:v>46</x:v>
      </x:c>
      <x:c r="J179" s="45" t="s">
        <x:v>1036</x:v>
      </x:c>
      <x:c r="K179" s="46" t="s">
        <x:v>1037</x:v>
      </x:c>
      <x:c r="L179" s="45" t="s">
        <x:v>48</x:v>
      </x:c>
      <x:c r="M179" s="45" t="s">
        <x:v>49</x:v>
      </x:c>
      <x:c r="N179" s="49" t="s">
        <x:v>50</x:v>
      </x:c>
      <x:c r="O179" s="45" t="s">
        <x:v>679</x:v>
      </x:c>
      <x:c r="P179" s="46" t="s">
        <x:v>39</x:v>
      </x:c>
      <x:c r="Q179" s="45" t="s">
        <x:v>115</x:v>
      </x:c>
      <x:c r="R179" s="50" t="s">
        <x:v>1038</x:v>
      </x:c>
      <x:c r="S179" s="46"/>
      <x:c r="T179" s="42" t="s">
        <x:v>30</x:v>
      </x:c>
      <x:c r="U179" s="43" t="s">
        <x:v>41</x:v>
      </x:c>
      <x:c r="V179" s="43" t="s">
        <x:v>682</x:v>
      </x:c>
      <x:c r="W179" s="8" t="str">
        <x:f>+VLOOKUP($A179,'TMS- NODE'!$A$6:$N$260,6,0)</x:f>
        <x:v>107.6701891,16.33241897</x:v>
      </x:c>
    </x:row>
    <x:row r="180">
      <x:c r="A180" s="34" t="s">
        <x:v>1039</x:v>
      </x:c>
      <x:c r="B180" s="44" t="s">
        <x:v>1040</x:v>
      </x:c>
      <x:c r="C180" s="45" t="s">
        <x:v>28</x:v>
      </x:c>
      <x:c r="D180" s="45" t="s">
        <x:v>29</x:v>
      </x:c>
      <x:c r="E180" s="46" t="s">
        <x:v>30</x:v>
      </x:c>
      <x:c r="F180" s="45" t="s">
        <x:v>29</x:v>
      </x:c>
      <x:c r="G180" s="46" t="s">
        <x:v>31</x:v>
      </x:c>
      <x:c r="H180" s="47" t="s">
        <x:v>45</x:v>
      </x:c>
      <x:c r="I180" s="48" t="s">
        <x:v>46</x:v>
      </x:c>
      <x:c r="J180" s="45" t="s">
        <x:v>1040</x:v>
      </x:c>
      <x:c r="K180" s="46" t="s">
        <x:v>1041</x:v>
      </x:c>
      <x:c r="L180" s="45" t="s">
        <x:v>48</x:v>
      </x:c>
      <x:c r="M180" s="45" t="s">
        <x:v>49</x:v>
      </x:c>
      <x:c r="N180" s="49" t="s">
        <x:v>50</x:v>
      </x:c>
      <x:c r="O180" s="45" t="s">
        <x:v>679</x:v>
      </x:c>
      <x:c r="P180" s="46" t="s">
        <x:v>251</x:v>
      </x:c>
      <x:c r="Q180" s="45" t="s">
        <x:v>115</x:v>
      </x:c>
      <x:c r="R180" s="50" t="s">
        <x:v>1042</x:v>
      </x:c>
      <x:c r="S180" s="46"/>
      <x:c r="T180" s="42" t="s">
        <x:v>30</x:v>
      </x:c>
      <x:c r="U180" s="43" t="s">
        <x:v>41</x:v>
      </x:c>
      <x:c r="V180" s="43" t="s">
        <x:v>682</x:v>
      </x:c>
      <x:c r="W180" s="8" t="str">
        <x:f>+VLOOKUP($A180,'TMS- NODE'!$A$6:$N$260,6,0)</x:f>
        <x:v>107.7183577,16.3760167</x:v>
      </x:c>
    </x:row>
    <x:row r="181">
      <x:c r="A181" s="34" t="s">
        <x:v>1043</x:v>
      </x:c>
      <x:c r="B181" s="44" t="s">
        <x:v>1044</x:v>
      </x:c>
      <x:c r="C181" s="45" t="s">
        <x:v>28</x:v>
      </x:c>
      <x:c r="D181" s="45" t="s">
        <x:v>29</x:v>
      </x:c>
      <x:c r="E181" s="46" t="s">
        <x:v>30</x:v>
      </x:c>
      <x:c r="F181" s="45" t="s">
        <x:v>29</x:v>
      </x:c>
      <x:c r="G181" s="46" t="s">
        <x:v>31</x:v>
      </x:c>
      <x:c r="H181" s="47" t="s">
        <x:v>163</x:v>
      </x:c>
      <x:c r="I181" s="48" t="s">
        <x:v>164</x:v>
      </x:c>
      <x:c r="J181" s="45" t="s">
        <x:v>1044</x:v>
      </x:c>
      <x:c r="K181" s="46" t="s">
        <x:v>1045</x:v>
      </x:c>
      <x:c r="L181" s="45" t="s">
        <x:v>166</x:v>
      </x:c>
      <x:c r="M181" s="45" t="s">
        <x:v>167</x:v>
      </x:c>
      <x:c r="N181" s="49" t="s">
        <x:v>168</x:v>
      </x:c>
      <x:c r="O181" s="45" t="s">
        <x:v>679</x:v>
      </x:c>
      <x:c r="P181" s="46" t="s">
        <x:v>1046</x:v>
      </x:c>
      <x:c r="Q181" s="45" t="s">
        <x:v>115</x:v>
      </x:c>
      <x:c r="R181" s="50" t="s">
        <x:v>1047</x:v>
      </x:c>
      <x:c r="S181" s="46"/>
      <x:c r="T181" s="42" t="s">
        <x:v>30</x:v>
      </x:c>
      <x:c r="U181" s="43" t="s">
        <x:v>41</x:v>
      </x:c>
      <x:c r="V181" s="43" t="s">
        <x:v>682</x:v>
      </x:c>
      <x:c r="W181" s="8" t="str">
        <x:f>+VLOOKUP($A181,'TMS- NODE'!$A$6:$N$260,6,0)</x:f>
        <x:v>107.7267984,16.18724279</x:v>
      </x:c>
    </x:row>
    <x:row r="182">
      <x:c r="A182" s="34" t="s">
        <x:v>1048</x:v>
      </x:c>
      <x:c r="B182" s="44" t="s">
        <x:v>1049</x:v>
      </x:c>
      <x:c r="C182" s="45" t="s">
        <x:v>28</x:v>
      </x:c>
      <x:c r="D182" s="45" t="s">
        <x:v>29</x:v>
      </x:c>
      <x:c r="E182" s="46" t="s">
        <x:v>30</x:v>
      </x:c>
      <x:c r="F182" s="45" t="s">
        <x:v>29</x:v>
      </x:c>
      <x:c r="G182" s="46" t="s">
        <x:v>31</x:v>
      </x:c>
      <x:c r="H182" s="47" t="s">
        <x:v>1050</x:v>
      </x:c>
      <x:c r="I182" s="48" t="s">
        <x:v>1051</x:v>
      </x:c>
      <x:c r="J182" s="45" t="s">
        <x:v>1049</x:v>
      </x:c>
      <x:c r="K182" s="46" t="s">
        <x:v>1052</x:v>
      </x:c>
      <x:c r="L182" s="45" t="s">
        <x:v>1053</x:v>
      </x:c>
      <x:c r="M182" s="45" t="s">
        <x:v>1054</x:v>
      </x:c>
      <x:c r="N182" s="49" t="s">
        <x:v>1055</x:v>
      </x:c>
      <x:c r="O182" s="45" t="s">
        <x:v>679</x:v>
      </x:c>
      <x:c r="P182" s="46" t="s">
        <x:v>1056</x:v>
      </x:c>
      <x:c r="Q182" s="45" t="s">
        <x:v>115</x:v>
      </x:c>
      <x:c r="R182" s="50" t="s">
        <x:v>1057</x:v>
      </x:c>
      <x:c r="S182" s="46"/>
      <x:c r="T182" s="42" t="s">
        <x:v>30</x:v>
      </x:c>
      <x:c r="U182" s="43" t="s">
        <x:v>41</x:v>
      </x:c>
      <x:c r="V182" s="43" t="s">
        <x:v>682</x:v>
      </x:c>
      <x:c r="W182" s="8" t="str">
        <x:f>+VLOOKUP($A182,'TMS- NODE'!$A$6:$N$260,6,0)</x:f>
        <x:v>107.682005,16.17387193</x:v>
      </x:c>
    </x:row>
    <x:row r="183">
      <x:c r="A183" s="34" t="s">
        <x:v>1058</x:v>
      </x:c>
      <x:c r="B183" s="44" t="s">
        <x:v>1059</x:v>
      </x:c>
      <x:c r="C183" s="45" t="s">
        <x:v>28</x:v>
      </x:c>
      <x:c r="D183" s="45" t="s">
        <x:v>29</x:v>
      </x:c>
      <x:c r="E183" s="46" t="s">
        <x:v>30</x:v>
      </x:c>
      <x:c r="F183" s="45" t="s">
        <x:v>29</x:v>
      </x:c>
      <x:c r="G183" s="46" t="s">
        <x:v>31</x:v>
      </x:c>
      <x:c r="H183" s="47" t="s">
        <x:v>1050</x:v>
      </x:c>
      <x:c r="I183" s="48" t="s">
        <x:v>1051</x:v>
      </x:c>
      <x:c r="J183" s="45" t="s">
        <x:v>1059</x:v>
      </x:c>
      <x:c r="K183" s="46" t="s">
        <x:v>419</x:v>
      </x:c>
      <x:c r="L183" s="45" t="s">
        <x:v>1053</x:v>
      </x:c>
      <x:c r="M183" s="45" t="s">
        <x:v>1054</x:v>
      </x:c>
      <x:c r="N183" s="49" t="s">
        <x:v>1055</x:v>
      </x:c>
      <x:c r="O183" s="45" t="s">
        <x:v>679</x:v>
      </x:c>
      <x:c r="P183" s="46" t="s">
        <x:v>1060</x:v>
      </x:c>
      <x:c r="Q183" s="45" t="s">
        <x:v>115</x:v>
      </x:c>
      <x:c r="R183" s="50" t="s">
        <x:v>1061</x:v>
      </x:c>
      <x:c r="S183" s="46"/>
      <x:c r="T183" s="42" t="s">
        <x:v>30</x:v>
      </x:c>
      <x:c r="U183" s="43" t="s">
        <x:v>41</x:v>
      </x:c>
      <x:c r="V183" s="43" t="s">
        <x:v>682</x:v>
      </x:c>
      <x:c r="W183" s="8" t="str">
        <x:f>+VLOOKUP($A183,'TMS- NODE'!$A$6:$N$260,6,0)</x:f>
        <x:v>107.6834012,16.12983217</x:v>
      </x:c>
    </x:row>
    <x:row r="184">
      <x:c r="A184" s="34" t="s">
        <x:v>1062</x:v>
      </x:c>
      <x:c r="B184" s="44" t="s">
        <x:v>1063</x:v>
      </x:c>
      <x:c r="C184" s="45" t="s">
        <x:v>28</x:v>
      </x:c>
      <x:c r="D184" s="45" t="s">
        <x:v>29</x:v>
      </x:c>
      <x:c r="E184" s="46" t="s">
        <x:v>30</x:v>
      </x:c>
      <x:c r="F184" s="45" t="s">
        <x:v>29</x:v>
      </x:c>
      <x:c r="G184" s="46" t="s">
        <x:v>31</x:v>
      </x:c>
      <x:c r="H184" s="47" t="s">
        <x:v>1050</x:v>
      </x:c>
      <x:c r="I184" s="48" t="s">
        <x:v>1051</x:v>
      </x:c>
      <x:c r="J184" s="45" t="s">
        <x:v>1063</x:v>
      </x:c>
      <x:c r="K184" s="46" t="s">
        <x:v>1064</x:v>
      </x:c>
      <x:c r="L184" s="45" t="s">
        <x:v>1065</x:v>
      </x:c>
      <x:c r="M184" s="45" t="s">
        <x:v>1066</x:v>
      </x:c>
      <x:c r="N184" s="49" t="s">
        <x:v>1067</x:v>
      </x:c>
      <x:c r="O184" s="45" t="s">
        <x:v>679</x:v>
      </x:c>
      <x:c r="P184" s="46" t="s">
        <x:v>241</x:v>
      </x:c>
      <x:c r="Q184" s="45" t="s">
        <x:v>115</x:v>
      </x:c>
      <x:c r="R184" s="50" t="s">
        <x:v>1068</x:v>
      </x:c>
      <x:c r="S184" s="46"/>
      <x:c r="T184" s="42" t="s">
        <x:v>30</x:v>
      </x:c>
      <x:c r="U184" s="43" t="s">
        <x:v>41</x:v>
      </x:c>
      <x:c r="V184" s="43" t="s">
        <x:v>682</x:v>
      </x:c>
      <x:c r="W184" s="8" t="str">
        <x:f>+VLOOKUP($A184,'TMS- NODE'!$A$6:$N$260,6,0)</x:f>
        <x:v>107.6671086,16.12671269</x:v>
      </x:c>
    </x:row>
    <x:row r="185">
      <x:c r="A185" s="34" t="s">
        <x:v>1069</x:v>
      </x:c>
      <x:c r="B185" s="44" t="s">
        <x:v>1070</x:v>
      </x:c>
      <x:c r="C185" s="45" t="s">
        <x:v>28</x:v>
      </x:c>
      <x:c r="D185" s="45" t="s">
        <x:v>29</x:v>
      </x:c>
      <x:c r="E185" s="46" t="s">
        <x:v>30</x:v>
      </x:c>
      <x:c r="F185" s="45" t="s">
        <x:v>29</x:v>
      </x:c>
      <x:c r="G185" s="46" t="s">
        <x:v>31</x:v>
      </x:c>
      <x:c r="H185" s="47" t="s">
        <x:v>1050</x:v>
      </x:c>
      <x:c r="I185" s="48" t="s">
        <x:v>1051</x:v>
      </x:c>
      <x:c r="J185" s="45" t="s">
        <x:v>1070</x:v>
      </x:c>
      <x:c r="K185" s="46" t="s">
        <x:v>1071</x:v>
      </x:c>
      <x:c r="L185" s="45" t="s">
        <x:v>1065</x:v>
      </x:c>
      <x:c r="M185" s="45" t="s">
        <x:v>1066</x:v>
      </x:c>
      <x:c r="N185" s="49" t="s">
        <x:v>1067</x:v>
      </x:c>
      <x:c r="O185" s="45" t="s">
        <x:v>679</x:v>
      </x:c>
      <x:c r="P185" s="46" t="s">
        <x:v>910</x:v>
      </x:c>
      <x:c r="Q185" s="45" t="s">
        <x:v>115</x:v>
      </x:c>
      <x:c r="R185" s="50" t="s">
        <x:v>1072</x:v>
      </x:c>
      <x:c r="S185" s="46"/>
      <x:c r="T185" s="42" t="s">
        <x:v>30</x:v>
      </x:c>
      <x:c r="U185" s="43" t="s">
        <x:v>41</x:v>
      </x:c>
      <x:c r="V185" s="43" t="s">
        <x:v>682</x:v>
      </x:c>
      <x:c r="W185" s="8" t="str">
        <x:f>+VLOOKUP($A185,'TMS- NODE'!$A$6:$N$260,6,0)</x:f>
        <x:v>107.6299736,16.12332603</x:v>
      </x:c>
    </x:row>
    <x:row r="186">
      <x:c r="A186" s="34" t="s">
        <x:v>1073</x:v>
      </x:c>
      <x:c r="B186" s="44" t="s">
        <x:v>1074</x:v>
      </x:c>
      <x:c r="C186" s="45" t="s">
        <x:v>28</x:v>
      </x:c>
      <x:c r="D186" s="45" t="s">
        <x:v>29</x:v>
      </x:c>
      <x:c r="E186" s="46" t="s">
        <x:v>30</x:v>
      </x:c>
      <x:c r="F186" s="45" t="s">
        <x:v>29</x:v>
      </x:c>
      <x:c r="G186" s="46" t="s">
        <x:v>31</x:v>
      </x:c>
      <x:c r="H186" s="47" t="s">
        <x:v>1050</x:v>
      </x:c>
      <x:c r="I186" s="48" t="s">
        <x:v>1051</x:v>
      </x:c>
      <x:c r="J186" s="45" t="s">
        <x:v>1074</x:v>
      </x:c>
      <x:c r="K186" s="46" t="s">
        <x:v>1075</x:v>
      </x:c>
      <x:c r="L186" s="45" t="s">
        <x:v>1065</x:v>
      </x:c>
      <x:c r="M186" s="45" t="s">
        <x:v>1066</x:v>
      </x:c>
      <x:c r="N186" s="49" t="s">
        <x:v>1067</x:v>
      </x:c>
      <x:c r="O186" s="45" t="s">
        <x:v>679</x:v>
      </x:c>
      <x:c r="P186" s="46" t="s">
        <x:v>1076</x:v>
      </x:c>
      <x:c r="Q186" s="45" t="s">
        <x:v>115</x:v>
      </x:c>
      <x:c r="R186" s="50" t="s">
        <x:v>1077</x:v>
      </x:c>
      <x:c r="S186" s="46"/>
      <x:c r="T186" s="42" t="s">
        <x:v>30</x:v>
      </x:c>
      <x:c r="U186" s="43" t="s">
        <x:v>41</x:v>
      </x:c>
      <x:c r="V186" s="43" t="s">
        <x:v>682</x:v>
      </x:c>
      <x:c r="W186" s="8" t="str">
        <x:f>+VLOOKUP($A186,'TMS- NODE'!$A$6:$N$260,6,0)</x:f>
        <x:v>107.6526126,16.11423222</x:v>
      </x:c>
    </x:row>
    <x:row r="187">
      <x:c r="A187" s="34" t="s">
        <x:v>1078</x:v>
      </x:c>
      <x:c r="B187" s="44" t="s">
        <x:v>1079</x:v>
      </x:c>
      <x:c r="C187" s="45" t="s">
        <x:v>28</x:v>
      </x:c>
      <x:c r="D187" s="45" t="s">
        <x:v>29</x:v>
      </x:c>
      <x:c r="E187" s="46" t="s">
        <x:v>30</x:v>
      </x:c>
      <x:c r="F187" s="45" t="s">
        <x:v>29</x:v>
      </x:c>
      <x:c r="G187" s="46" t="s">
        <x:v>31</x:v>
      </x:c>
      <x:c r="H187" s="47" t="s">
        <x:v>1050</x:v>
      </x:c>
      <x:c r="I187" s="48" t="s">
        <x:v>1051</x:v>
      </x:c>
      <x:c r="J187" s="45" t="s">
        <x:v>1079</x:v>
      </x:c>
      <x:c r="K187" s="46" t="s">
        <x:v>1080</x:v>
      </x:c>
      <x:c r="L187" s="45" t="s">
        <x:v>1053</x:v>
      </x:c>
      <x:c r="M187" s="45" t="s">
        <x:v>1054</x:v>
      </x:c>
      <x:c r="N187" s="49" t="s">
        <x:v>1055</x:v>
      </x:c>
      <x:c r="O187" s="45" t="s">
        <x:v>679</x:v>
      </x:c>
      <x:c r="P187" s="46" t="s">
        <x:v>1081</x:v>
      </x:c>
      <x:c r="Q187" s="45" t="s">
        <x:v>115</x:v>
      </x:c>
      <x:c r="R187" s="50" t="s">
        <x:v>1082</x:v>
      </x:c>
      <x:c r="S187" s="46"/>
      <x:c r="T187" s="42" t="s">
        <x:v>30</x:v>
      </x:c>
      <x:c r="U187" s="43" t="s">
        <x:v>41</x:v>
      </x:c>
      <x:c r="V187" s="43" t="s">
        <x:v>682</x:v>
      </x:c>
      <x:c r="W187" s="8" t="str">
        <x:f>+VLOOKUP($A187,'TMS- NODE'!$A$6:$N$260,6,0)</x:f>
        <x:v>107.6843414,16.12597414</x:v>
      </x:c>
    </x:row>
    <x:row r="188">
      <x:c r="A188" s="34" t="s">
        <x:v>1083</x:v>
      </x:c>
      <x:c r="B188" s="44" t="s">
        <x:v>1084</x:v>
      </x:c>
      <x:c r="C188" s="45" t="s">
        <x:v>28</x:v>
      </x:c>
      <x:c r="D188" s="45" t="s">
        <x:v>29</x:v>
      </x:c>
      <x:c r="E188" s="46" t="s">
        <x:v>30</x:v>
      </x:c>
      <x:c r="F188" s="45" t="s">
        <x:v>29</x:v>
      </x:c>
      <x:c r="G188" s="46" t="s">
        <x:v>31</x:v>
      </x:c>
      <x:c r="H188" s="47" t="s">
        <x:v>163</x:v>
      </x:c>
      <x:c r="I188" s="48" t="s">
        <x:v>164</x:v>
      </x:c>
      <x:c r="J188" s="45" t="s">
        <x:v>1084</x:v>
      </x:c>
      <x:c r="K188" s="46" t="s">
        <x:v>1085</x:v>
      </x:c>
      <x:c r="L188" s="45" t="s">
        <x:v>166</x:v>
      </x:c>
      <x:c r="M188" s="45" t="s">
        <x:v>167</x:v>
      </x:c>
      <x:c r="N188" s="49" t="s">
        <x:v>168</x:v>
      </x:c>
      <x:c r="O188" s="45" t="s">
        <x:v>679</x:v>
      </x:c>
      <x:c r="P188" s="46" t="s">
        <x:v>1086</x:v>
      </x:c>
      <x:c r="Q188" s="45" t="s">
        <x:v>115</x:v>
      </x:c>
      <x:c r="R188" s="50" t="s">
        <x:v>1087</x:v>
      </x:c>
      <x:c r="S188" s="46"/>
      <x:c r="T188" s="42" t="s">
        <x:v>30</x:v>
      </x:c>
      <x:c r="U188" s="43" t="s">
        <x:v>41</x:v>
      </x:c>
      <x:c r="V188" s="43" t="s">
        <x:v>682</x:v>
      </x:c>
      <x:c r="W188" s="8" t="str">
        <x:f>+VLOOKUP($A188,'TMS- NODE'!$A$6:$N$260,6,0)</x:f>
        <x:v>107.7257511,16.15031476</x:v>
      </x:c>
    </x:row>
    <x:row r="189">
      <x:c r="A189" s="34" t="s">
        <x:v>1088</x:v>
      </x:c>
      <x:c r="B189" s="44" t="s">
        <x:v>1089</x:v>
      </x:c>
      <x:c r="C189" s="45" t="s">
        <x:v>28</x:v>
      </x:c>
      <x:c r="D189" s="45" t="s">
        <x:v>29</x:v>
      </x:c>
      <x:c r="E189" s="46" t="s">
        <x:v>30</x:v>
      </x:c>
      <x:c r="F189" s="45" t="s">
        <x:v>29</x:v>
      </x:c>
      <x:c r="G189" s="46" t="s">
        <x:v>31</x:v>
      </x:c>
      <x:c r="H189" s="47" t="s">
        <x:v>163</x:v>
      </x:c>
      <x:c r="I189" s="48" t="s">
        <x:v>164</x:v>
      </x:c>
      <x:c r="J189" s="45" t="s">
        <x:v>1089</x:v>
      </x:c>
      <x:c r="K189" s="46" t="s">
        <x:v>1090</x:v>
      </x:c>
      <x:c r="L189" s="45" t="s">
        <x:v>166</x:v>
      </x:c>
      <x:c r="M189" s="45" t="s">
        <x:v>167</x:v>
      </x:c>
      <x:c r="N189" s="49" t="s">
        <x:v>168</x:v>
      </x:c>
      <x:c r="O189" s="45" t="s">
        <x:v>679</x:v>
      </x:c>
      <x:c r="P189" s="46" t="s">
        <x:v>39</x:v>
      </x:c>
      <x:c r="Q189" s="45" t="s">
        <x:v>115</x:v>
      </x:c>
      <x:c r="R189" s="50" t="s">
        <x:v>1091</x:v>
      </x:c>
      <x:c r="S189" s="46"/>
      <x:c r="T189" s="42" t="s">
        <x:v>30</x:v>
      </x:c>
      <x:c r="U189" s="43" t="s">
        <x:v>41</x:v>
      </x:c>
      <x:c r="V189" s="43" t="s">
        <x:v>682</x:v>
      </x:c>
      <x:c r="W189" s="8" t="str">
        <x:f>+VLOOKUP($A189,'TMS- NODE'!$A$6:$N$260,6,0)</x:f>
        <x:v>107.7285975,16.1558962</x:v>
      </x:c>
    </x:row>
    <x:row r="190">
      <x:c r="A190" s="34" t="s">
        <x:v>1092</x:v>
      </x:c>
      <x:c r="B190" s="44" t="s">
        <x:v>1093</x:v>
      </x:c>
      <x:c r="C190" s="45" t="s">
        <x:v>28</x:v>
      </x:c>
      <x:c r="D190" s="45" t="s">
        <x:v>29</x:v>
      </x:c>
      <x:c r="E190" s="46" t="s">
        <x:v>30</x:v>
      </x:c>
      <x:c r="F190" s="45" t="s">
        <x:v>29</x:v>
      </x:c>
      <x:c r="G190" s="46" t="s">
        <x:v>31</x:v>
      </x:c>
      <x:c r="H190" s="47" t="s">
        <x:v>1094</x:v>
      </x:c>
      <x:c r="I190" s="48" t="s">
        <x:v>1095</x:v>
      </x:c>
      <x:c r="J190" s="45" t="s">
        <x:v>1093</x:v>
      </x:c>
      <x:c r="K190" s="46" t="s">
        <x:v>1096</x:v>
      </x:c>
      <x:c r="L190" s="45" t="s">
        <x:v>1097</x:v>
      </x:c>
      <x:c r="M190" s="45" t="s">
        <x:v>1098</x:v>
      </x:c>
      <x:c r="N190" s="49" t="s">
        <x:v>1099</x:v>
      </x:c>
      <x:c r="O190" s="45" t="s">
        <x:v>679</x:v>
      </x:c>
      <x:c r="P190" s="46" t="s">
        <x:v>1100</x:v>
      </x:c>
      <x:c r="Q190" s="45" t="s">
        <x:v>115</x:v>
      </x:c>
      <x:c r="R190" s="50" t="s">
        <x:v>1101</x:v>
      </x:c>
      <x:c r="S190" s="46"/>
      <x:c r="T190" s="42" t="s">
        <x:v>30</x:v>
      </x:c>
      <x:c r="U190" s="43" t="s">
        <x:v>41</x:v>
      </x:c>
      <x:c r="V190" s="43" t="s">
        <x:v>682</x:v>
      </x:c>
      <x:c r="W190" s="8" t="str">
        <x:f>+VLOOKUP($A190,'TMS- NODE'!$A$6:$N$260,6,0)</x:f>
        <x:v>107.5999184,16.51262086</x:v>
      </x:c>
    </x:row>
    <x:row r="191">
      <x:c r="A191" s="34" t="s">
        <x:v>1102</x:v>
      </x:c>
      <x:c r="B191" s="44" t="s">
        <x:v>1103</x:v>
      </x:c>
      <x:c r="C191" s="45" t="s">
        <x:v>28</x:v>
      </x:c>
      <x:c r="D191" s="45" t="s">
        <x:v>29</x:v>
      </x:c>
      <x:c r="E191" s="46" t="s">
        <x:v>30</x:v>
      </x:c>
      <x:c r="F191" s="45" t="s">
        <x:v>29</x:v>
      </x:c>
      <x:c r="G191" s="46" t="s">
        <x:v>31</x:v>
      </x:c>
      <x:c r="H191" s="47" t="s">
        <x:v>315</x:v>
      </x:c>
      <x:c r="I191" s="48" t="s">
        <x:v>316</x:v>
      </x:c>
      <x:c r="J191" s="45" t="s">
        <x:v>1103</x:v>
      </x:c>
      <x:c r="K191" s="46" t="s">
        <x:v>1104</x:v>
      </x:c>
      <x:c r="L191" s="45" t="s">
        <x:v>57</x:v>
      </x:c>
      <x:c r="M191" s="45" t="s">
        <x:v>58</x:v>
      </x:c>
      <x:c r="N191" s="49" t="s">
        <x:v>59</x:v>
      </x:c>
      <x:c r="O191" s="45" t="s">
        <x:v>679</x:v>
      </x:c>
      <x:c r="P191" s="46" t="s">
        <x:v>1105</x:v>
      </x:c>
      <x:c r="Q191" s="45" t="s">
        <x:v>115</x:v>
      </x:c>
      <x:c r="R191" s="50" t="s">
        <x:v>1106</x:v>
      </x:c>
      <x:c r="S191" s="46"/>
      <x:c r="T191" s="42" t="s">
        <x:v>30</x:v>
      </x:c>
      <x:c r="U191" s="43" t="s">
        <x:v>41</x:v>
      </x:c>
      <x:c r="V191" s="43" t="s">
        <x:v>682</x:v>
      </x:c>
      <x:c r="W191" s="8" t="str">
        <x:f>+VLOOKUP($A191,'TMS- NODE'!$A$6:$N$260,6,0)</x:f>
        <x:v>107.6259293,16.50441385</x:v>
      </x:c>
    </x:row>
    <x:row r="192">
      <x:c r="A192" s="34" t="s">
        <x:v>1107</x:v>
      </x:c>
      <x:c r="B192" s="44" t="s">
        <x:v>1108</x:v>
      </x:c>
      <x:c r="C192" s="45" t="s">
        <x:v>28</x:v>
      </x:c>
      <x:c r="D192" s="45" t="s">
        <x:v>29</x:v>
      </x:c>
      <x:c r="E192" s="46" t="s">
        <x:v>30</x:v>
      </x:c>
      <x:c r="F192" s="45" t="s">
        <x:v>29</x:v>
      </x:c>
      <x:c r="G192" s="46" t="s">
        <x:v>31</x:v>
      </x:c>
      <x:c r="H192" s="47" t="s">
        <x:v>300</x:v>
      </x:c>
      <x:c r="I192" s="48" t="s">
        <x:v>301</x:v>
      </x:c>
      <x:c r="J192" s="45" t="s">
        <x:v>1108</x:v>
      </x:c>
      <x:c r="K192" s="46" t="s">
        <x:v>1109</x:v>
      </x:c>
      <x:c r="L192" s="45" t="s">
        <x:v>303</x:v>
      </x:c>
      <x:c r="M192" s="45" t="s">
        <x:v>304</x:v>
      </x:c>
      <x:c r="N192" s="49" t="s">
        <x:v>305</x:v>
      </x:c>
      <x:c r="O192" s="45" t="s">
        <x:v>679</x:v>
      </x:c>
      <x:c r="P192" s="46" t="s">
        <x:v>1110</x:v>
      </x:c>
      <x:c r="Q192" s="45" t="s">
        <x:v>115</x:v>
      </x:c>
      <x:c r="R192" s="50" t="s">
        <x:v>1111</x:v>
      </x:c>
      <x:c r="S192" s="46"/>
      <x:c r="T192" s="42" t="s">
        <x:v>30</x:v>
      </x:c>
      <x:c r="U192" s="43" t="s">
        <x:v>41</x:v>
      </x:c>
      <x:c r="V192" s="43" t="s">
        <x:v>682</x:v>
      </x:c>
      <x:c r="W192" s="8" t="str">
        <x:f>+VLOOKUP($A192,'TMS- NODE'!$A$6:$N$260,6,0)</x:f>
        <x:v>107.6813725,16.53870615</x:v>
      </x:c>
    </x:row>
    <x:row r="193">
      <x:c r="A193" s="34" t="s">
        <x:v>1112</x:v>
      </x:c>
      <x:c r="B193" s="44" t="s">
        <x:v>1113</x:v>
      </x:c>
      <x:c r="C193" s="45" t="s">
        <x:v>28</x:v>
      </x:c>
      <x:c r="D193" s="45" t="s">
        <x:v>29</x:v>
      </x:c>
      <x:c r="E193" s="46" t="s">
        <x:v>30</x:v>
      </x:c>
      <x:c r="F193" s="45" t="s">
        <x:v>29</x:v>
      </x:c>
      <x:c r="G193" s="46" t="s">
        <x:v>31</x:v>
      </x:c>
      <x:c r="H193" s="47" t="s">
        <x:v>300</x:v>
      </x:c>
      <x:c r="I193" s="48" t="s">
        <x:v>301</x:v>
      </x:c>
      <x:c r="J193" s="45" t="s">
        <x:v>1113</x:v>
      </x:c>
      <x:c r="K193" s="46" t="s">
        <x:v>1114</x:v>
      </x:c>
      <x:c r="L193" s="45" t="s">
        <x:v>303</x:v>
      </x:c>
      <x:c r="M193" s="45" t="s">
        <x:v>304</x:v>
      </x:c>
      <x:c r="N193" s="49" t="s">
        <x:v>305</x:v>
      </x:c>
      <x:c r="O193" s="45" t="s">
        <x:v>679</x:v>
      </x:c>
      <x:c r="P193" s="46" t="s">
        <x:v>1115</x:v>
      </x:c>
      <x:c r="Q193" s="45" t="s">
        <x:v>115</x:v>
      </x:c>
      <x:c r="R193" s="50" t="s">
        <x:v>1116</x:v>
      </x:c>
      <x:c r="S193" s="46"/>
      <x:c r="T193" s="42" t="s">
        <x:v>30</x:v>
      </x:c>
      <x:c r="U193" s="43" t="s">
        <x:v>41</x:v>
      </x:c>
      <x:c r="V193" s="43" t="s">
        <x:v>682</x:v>
      </x:c>
      <x:c r="W193" s="8" t="str">
        <x:f>+VLOOKUP($A193,'TMS- NODE'!$A$6:$N$260,6,0)</x:f>
        <x:v>107.6466447,16.55891973</x:v>
      </x:c>
    </x:row>
    <x:row r="194">
      <x:c r="A194" s="34" t="s">
        <x:v>1117</x:v>
      </x:c>
      <x:c r="B194" s="44" t="s">
        <x:v>1118</x:v>
      </x:c>
      <x:c r="C194" s="45" t="s">
        <x:v>28</x:v>
      </x:c>
      <x:c r="D194" s="45" t="s">
        <x:v>29</x:v>
      </x:c>
      <x:c r="E194" s="46" t="s">
        <x:v>30</x:v>
      </x:c>
      <x:c r="F194" s="45" t="s">
        <x:v>29</x:v>
      </x:c>
      <x:c r="G194" s="46" t="s">
        <x:v>31</x:v>
      </x:c>
      <x:c r="H194" s="47" t="s">
        <x:v>1094</x:v>
      </x:c>
      <x:c r="I194" s="48" t="s">
        <x:v>1095</x:v>
      </x:c>
      <x:c r="J194" s="45" t="s">
        <x:v>1118</x:v>
      </x:c>
      <x:c r="K194" s="46" t="s">
        <x:v>1119</x:v>
      </x:c>
      <x:c r="L194" s="45" t="s">
        <x:v>1097</x:v>
      </x:c>
      <x:c r="M194" s="45" t="s">
        <x:v>1098</x:v>
      </x:c>
      <x:c r="N194" s="49" t="s">
        <x:v>1099</x:v>
      </x:c>
      <x:c r="O194" s="45" t="s">
        <x:v>679</x:v>
      </x:c>
      <x:c r="P194" s="46" t="s">
        <x:v>1120</x:v>
      </x:c>
      <x:c r="Q194" s="45" t="s">
        <x:v>115</x:v>
      </x:c>
      <x:c r="R194" s="50" t="s">
        <x:v>1121</x:v>
      </x:c>
      <x:c r="S194" s="46"/>
      <x:c r="T194" s="42" t="s">
        <x:v>30</x:v>
      </x:c>
      <x:c r="U194" s="43" t="s">
        <x:v>41</x:v>
      </x:c>
      <x:c r="V194" s="43" t="s">
        <x:v>682</x:v>
      </x:c>
      <x:c r="W194" s="8" t="str">
        <x:f>+VLOOKUP($A194,'TMS- NODE'!$A$6:$N$260,6,0)</x:f>
        <x:v>107.5979463,16.54525817</x:v>
      </x:c>
    </x:row>
    <x:row r="195">
      <x:c r="A195" s="34" t="s">
        <x:v>1122</x:v>
      </x:c>
      <x:c r="B195" s="44" t="s">
        <x:v>1123</x:v>
      </x:c>
      <x:c r="C195" s="45" t="s">
        <x:v>28</x:v>
      </x:c>
      <x:c r="D195" s="45" t="s">
        <x:v>29</x:v>
      </x:c>
      <x:c r="E195" s="46" t="s">
        <x:v>30</x:v>
      </x:c>
      <x:c r="F195" s="45" t="s">
        <x:v>29</x:v>
      </x:c>
      <x:c r="G195" s="46" t="s">
        <x:v>31</x:v>
      </x:c>
      <x:c r="H195" s="47" t="s">
        <x:v>1094</x:v>
      </x:c>
      <x:c r="I195" s="48" t="s">
        <x:v>1095</x:v>
      </x:c>
      <x:c r="J195" s="45" t="s">
        <x:v>1123</x:v>
      </x:c>
      <x:c r="K195" s="46" t="s">
        <x:v>1124</x:v>
      </x:c>
      <x:c r="L195" s="45" t="s">
        <x:v>1097</x:v>
      </x:c>
      <x:c r="M195" s="45" t="s">
        <x:v>1098</x:v>
      </x:c>
      <x:c r="N195" s="49" t="s">
        <x:v>1099</x:v>
      </x:c>
      <x:c r="O195" s="45" t="s">
        <x:v>679</x:v>
      </x:c>
      <x:c r="P195" s="46" t="s">
        <x:v>1125</x:v>
      </x:c>
      <x:c r="Q195" s="45" t="s">
        <x:v>115</x:v>
      </x:c>
      <x:c r="R195" s="50" t="s">
        <x:v>1126</x:v>
      </x:c>
      <x:c r="S195" s="46"/>
      <x:c r="T195" s="42" t="s">
        <x:v>30</x:v>
      </x:c>
      <x:c r="U195" s="43" t="s">
        <x:v>41</x:v>
      </x:c>
      <x:c r="V195" s="43" t="s">
        <x:v>682</x:v>
      </x:c>
      <x:c r="W195" s="8" t="str">
        <x:f>+VLOOKUP($A195,'TMS- NODE'!$A$6:$N$260,6,0)</x:f>
        <x:v>107.5832509,16.51744811</x:v>
      </x:c>
    </x:row>
    <x:row r="196">
      <x:c r="A196" s="34" t="s">
        <x:v>1127</x:v>
      </x:c>
      <x:c r="B196" s="44" t="s">
        <x:v>1128</x:v>
      </x:c>
      <x:c r="C196" s="45" t="s">
        <x:v>28</x:v>
      </x:c>
      <x:c r="D196" s="45" t="s">
        <x:v>29</x:v>
      </x:c>
      <x:c r="E196" s="46" t="s">
        <x:v>30</x:v>
      </x:c>
      <x:c r="F196" s="45" t="s">
        <x:v>29</x:v>
      </x:c>
      <x:c r="G196" s="46" t="s">
        <x:v>31</x:v>
      </x:c>
      <x:c r="H196" s="47" t="s">
        <x:v>315</x:v>
      </x:c>
      <x:c r="I196" s="48" t="s">
        <x:v>316</x:v>
      </x:c>
      <x:c r="J196" s="45" t="s">
        <x:v>1128</x:v>
      </x:c>
      <x:c r="K196" s="46" t="s">
        <x:v>1129</x:v>
      </x:c>
      <x:c r="L196" s="45" t="s">
        <x:v>57</x:v>
      </x:c>
      <x:c r="M196" s="45" t="s">
        <x:v>58</x:v>
      </x:c>
      <x:c r="N196" s="49" t="s">
        <x:v>59</x:v>
      </x:c>
      <x:c r="O196" s="45" t="s">
        <x:v>679</x:v>
      </x:c>
      <x:c r="P196" s="46" t="s">
        <x:v>1130</x:v>
      </x:c>
      <x:c r="Q196" s="45" t="s">
        <x:v>115</x:v>
      </x:c>
      <x:c r="R196" s="50" t="s">
        <x:v>1131</x:v>
      </x:c>
      <x:c r="S196" s="46"/>
      <x:c r="T196" s="42" t="s">
        <x:v>30</x:v>
      </x:c>
      <x:c r="U196" s="43" t="s">
        <x:v>41</x:v>
      </x:c>
      <x:c r="V196" s="43" t="s">
        <x:v>682</x:v>
      </x:c>
      <x:c r="W196" s="8" t="str">
        <x:f>+VLOOKUP($A196,'TMS- NODE'!$A$6:$N$260,6,0)</x:f>
        <x:v>107.6019846,16.48437335</x:v>
      </x:c>
    </x:row>
    <x:row r="197">
      <x:c r="A197" s="34" t="s">
        <x:v>1132</x:v>
      </x:c>
      <x:c r="B197" s="44" t="s">
        <x:v>1133</x:v>
      </x:c>
      <x:c r="C197" s="45" t="s">
        <x:v>28</x:v>
      </x:c>
      <x:c r="D197" s="45" t="s">
        <x:v>29</x:v>
      </x:c>
      <x:c r="E197" s="46" t="s">
        <x:v>30</x:v>
      </x:c>
      <x:c r="F197" s="45" t="s">
        <x:v>29</x:v>
      </x:c>
      <x:c r="G197" s="46" t="s">
        <x:v>31</x:v>
      </x:c>
      <x:c r="H197" s="47" t="s">
        <x:v>315</x:v>
      </x:c>
      <x:c r="I197" s="48" t="s">
        <x:v>316</x:v>
      </x:c>
      <x:c r="J197" s="45" t="s">
        <x:v>1133</x:v>
      </x:c>
      <x:c r="K197" s="46" t="s">
        <x:v>1134</x:v>
      </x:c>
      <x:c r="L197" s="45" t="s">
        <x:v>57</x:v>
      </x:c>
      <x:c r="M197" s="45" t="s">
        <x:v>58</x:v>
      </x:c>
      <x:c r="N197" s="49" t="s">
        <x:v>59</x:v>
      </x:c>
      <x:c r="O197" s="45" t="s">
        <x:v>679</x:v>
      </x:c>
      <x:c r="P197" s="46" t="s">
        <x:v>1135</x:v>
      </x:c>
      <x:c r="Q197" s="45" t="s">
        <x:v>115</x:v>
      </x:c>
      <x:c r="R197" s="50" t="s">
        <x:v>1136</x:v>
      </x:c>
      <x:c r="S197" s="46"/>
      <x:c r="T197" s="42" t="s">
        <x:v>30</x:v>
      </x:c>
      <x:c r="U197" s="43" t="s">
        <x:v>41</x:v>
      </x:c>
      <x:c r="V197" s="43" t="s">
        <x:v>682</x:v>
      </x:c>
      <x:c r="W197" s="8" t="str">
        <x:f>+VLOOKUP($A197,'TMS- NODE'!$A$6:$N$260,6,0)</x:f>
        <x:v>107.6295376,16.49475995</x:v>
      </x:c>
    </x:row>
    <x:row r="198">
      <x:c r="A198" s="34" t="s">
        <x:v>1137</x:v>
      </x:c>
      <x:c r="B198" s="44" t="s">
        <x:v>1138</x:v>
      </x:c>
      <x:c r="C198" s="45" t="s">
        <x:v>28</x:v>
      </x:c>
      <x:c r="D198" s="45" t="s">
        <x:v>29</x:v>
      </x:c>
      <x:c r="E198" s="46" t="s">
        <x:v>30</x:v>
      </x:c>
      <x:c r="F198" s="45" t="s">
        <x:v>29</x:v>
      </x:c>
      <x:c r="G198" s="46" t="s">
        <x:v>31</x:v>
      </x:c>
      <x:c r="H198" s="47" t="s">
        <x:v>1139</x:v>
      </x:c>
      <x:c r="I198" s="48" t="s">
        <x:v>1140</x:v>
      </x:c>
      <x:c r="J198" s="45" t="s">
        <x:v>1138</x:v>
      </x:c>
      <x:c r="K198" s="46" t="s">
        <x:v>1141</x:v>
      </x:c>
      <x:c r="L198" s="45" t="s">
        <x:v>67</x:v>
      </x:c>
      <x:c r="M198" s="45" t="s">
        <x:v>68</x:v>
      </x:c>
      <x:c r="N198" s="49" t="s">
        <x:v>69</x:v>
      </x:c>
      <x:c r="O198" s="45" t="s">
        <x:v>679</x:v>
      </x:c>
      <x:c r="P198" s="46" t="s">
        <x:v>1142</x:v>
      </x:c>
      <x:c r="Q198" s="45" t="s">
        <x:v>115</x:v>
      </x:c>
      <x:c r="R198" s="50" t="s">
        <x:v>1143</x:v>
      </x:c>
      <x:c r="S198" s="46"/>
      <x:c r="T198" s="42" t="s">
        <x:v>30</x:v>
      </x:c>
      <x:c r="U198" s="43" t="s">
        <x:v>41</x:v>
      </x:c>
      <x:c r="V198" s="43" t="s">
        <x:v>682</x:v>
      </x:c>
      <x:c r="W198" s="8" t="str">
        <x:f>+VLOOKUP($A198,'TMS- NODE'!$A$6:$N$260,6,0)</x:f>
        <x:v>107.6668753,16.46827862</x:v>
      </x:c>
    </x:row>
    <x:row r="199">
      <x:c r="A199" s="34" t="s">
        <x:v>1144</x:v>
      </x:c>
      <x:c r="B199" s="44" t="s">
        <x:v>1145</x:v>
      </x:c>
      <x:c r="C199" s="45" t="s">
        <x:v>28</x:v>
      </x:c>
      <x:c r="D199" s="45" t="s">
        <x:v>29</x:v>
      </x:c>
      <x:c r="E199" s="46" t="s">
        <x:v>30</x:v>
      </x:c>
      <x:c r="F199" s="45" t="s">
        <x:v>29</x:v>
      </x:c>
      <x:c r="G199" s="46" t="s">
        <x:v>31</x:v>
      </x:c>
      <x:c r="H199" s="47" t="s">
        <x:v>1139</x:v>
      </x:c>
      <x:c r="I199" s="48" t="s">
        <x:v>1140</x:v>
      </x:c>
      <x:c r="J199" s="45" t="s">
        <x:v>1145</x:v>
      </x:c>
      <x:c r="K199" s="46" t="s">
        <x:v>1146</x:v>
      </x:c>
      <x:c r="L199" s="45" t="s">
        <x:v>67</x:v>
      </x:c>
      <x:c r="M199" s="45" t="s">
        <x:v>68</x:v>
      </x:c>
      <x:c r="N199" s="49" t="s">
        <x:v>69</x:v>
      </x:c>
      <x:c r="O199" s="45" t="s">
        <x:v>679</x:v>
      </x:c>
      <x:c r="P199" s="46" t="s">
        <x:v>1147</x:v>
      </x:c>
      <x:c r="Q199" s="45" t="s">
        <x:v>115</x:v>
      </x:c>
      <x:c r="R199" s="50" t="s">
        <x:v>1148</x:v>
      </x:c>
      <x:c r="S199" s="46"/>
      <x:c r="T199" s="42" t="s">
        <x:v>30</x:v>
      </x:c>
      <x:c r="U199" s="43" t="s">
        <x:v>41</x:v>
      </x:c>
      <x:c r="V199" s="43" t="s">
        <x:v>682</x:v>
      </x:c>
      <x:c r="W199" s="8" t="str">
        <x:f>+VLOOKUP($A199,'TMS- NODE'!$A$6:$N$260,6,0)</x:f>
        <x:v>107.6802439,16.45466437</x:v>
      </x:c>
    </x:row>
    <x:row r="200">
      <x:c r="A200" s="34" t="s">
        <x:v>1149</x:v>
      </x:c>
      <x:c r="B200" s="44" t="s">
        <x:v>1150</x:v>
      </x:c>
      <x:c r="C200" s="45" t="s">
        <x:v>28</x:v>
      </x:c>
      <x:c r="D200" s="45" t="s">
        <x:v>29</x:v>
      </x:c>
      <x:c r="E200" s="46" t="s">
        <x:v>30</x:v>
      </x:c>
      <x:c r="F200" s="45" t="s">
        <x:v>29</x:v>
      </x:c>
      <x:c r="G200" s="46" t="s">
        <x:v>31</x:v>
      </x:c>
      <x:c r="H200" s="47" t="s">
        <x:v>64</x:v>
      </x:c>
      <x:c r="I200" s="48" t="s">
        <x:v>65</x:v>
      </x:c>
      <x:c r="J200" s="45" t="s">
        <x:v>1150</x:v>
      </x:c>
      <x:c r="K200" s="46" t="s">
        <x:v>1151</x:v>
      </x:c>
      <x:c r="L200" s="45" t="s">
        <x:v>174</x:v>
      </x:c>
      <x:c r="M200" s="45" t="s">
        <x:v>175</x:v>
      </x:c>
      <x:c r="N200" s="49" t="s">
        <x:v>176</x:v>
      </x:c>
      <x:c r="O200" s="45" t="s">
        <x:v>679</x:v>
      </x:c>
      <x:c r="P200" s="46" t="s">
        <x:v>251</x:v>
      </x:c>
      <x:c r="Q200" s="45" t="s">
        <x:v>115</x:v>
      </x:c>
      <x:c r="R200" s="50" t="s">
        <x:v>1152</x:v>
      </x:c>
      <x:c r="S200" s="46"/>
      <x:c r="T200" s="42" t="s">
        <x:v>30</x:v>
      </x:c>
      <x:c r="U200" s="43" t="s">
        <x:v>41</x:v>
      </x:c>
      <x:c r="V200" s="43" t="s">
        <x:v>682</x:v>
      </x:c>
      <x:c r="W200" s="8" t="str">
        <x:f>+VLOOKUP($A200,'TMS- NODE'!$A$6:$N$260,6,0)</x:f>
        <x:v>107.8122242,16.3722527</x:v>
      </x:c>
    </x:row>
    <x:row r="201">
      <x:c r="A201" s="34" t="s">
        <x:v>1153</x:v>
      </x:c>
      <x:c r="B201" s="44" t="s">
        <x:v>1154</x:v>
      </x:c>
      <x:c r="C201" s="45" t="s">
        <x:v>28</x:v>
      </x:c>
      <x:c r="D201" s="45" t="s">
        <x:v>29</x:v>
      </x:c>
      <x:c r="E201" s="46" t="s">
        <x:v>30</x:v>
      </x:c>
      <x:c r="F201" s="45" t="s">
        <x:v>29</x:v>
      </x:c>
      <x:c r="G201" s="46" t="s">
        <x:v>31</x:v>
      </x:c>
      <x:c r="H201" s="47" t="s">
        <x:v>1139</x:v>
      </x:c>
      <x:c r="I201" s="48" t="s">
        <x:v>1140</x:v>
      </x:c>
      <x:c r="J201" s="45" t="s">
        <x:v>1154</x:v>
      </x:c>
      <x:c r="K201" s="46" t="s">
        <x:v>1155</x:v>
      </x:c>
      <x:c r="L201" s="45" t="s">
        <x:v>67</x:v>
      </x:c>
      <x:c r="M201" s="45" t="s">
        <x:v>68</x:v>
      </x:c>
      <x:c r="N201" s="49" t="s">
        <x:v>69</x:v>
      </x:c>
      <x:c r="O201" s="45" t="s">
        <x:v>679</x:v>
      </x:c>
      <x:c r="P201" s="46" t="s">
        <x:v>1156</x:v>
      </x:c>
      <x:c r="Q201" s="45" t="s">
        <x:v>115</x:v>
      </x:c>
      <x:c r="R201" s="50" t="s">
        <x:v>1157</x:v>
      </x:c>
      <x:c r="S201" s="46"/>
      <x:c r="T201" s="42" t="s">
        <x:v>30</x:v>
      </x:c>
      <x:c r="U201" s="43" t="s">
        <x:v>41</x:v>
      </x:c>
      <x:c r="V201" s="43" t="s">
        <x:v>682</x:v>
      </x:c>
      <x:c r="W201" s="8" t="str">
        <x:f>+VLOOKUP($A201,'TMS- NODE'!$A$6:$N$260,6,0)</x:f>
        <x:v>107.7015146,16.48935261</x:v>
      </x:c>
    </x:row>
    <x:row r="202">
      <x:c r="A202" s="34" t="s">
        <x:v>1158</x:v>
      </x:c>
      <x:c r="B202" s="44" t="s">
        <x:v>1159</x:v>
      </x:c>
      <x:c r="C202" s="45" t="s">
        <x:v>28</x:v>
      </x:c>
      <x:c r="D202" s="45" t="s">
        <x:v>29</x:v>
      </x:c>
      <x:c r="E202" s="46" t="s">
        <x:v>30</x:v>
      </x:c>
      <x:c r="F202" s="45" t="s">
        <x:v>29</x:v>
      </x:c>
      <x:c r="G202" s="46" t="s">
        <x:v>31</x:v>
      </x:c>
      <x:c r="H202" s="47" t="s">
        <x:v>327</x:v>
      </x:c>
      <x:c r="I202" s="48" t="s">
        <x:v>328</x:v>
      </x:c>
      <x:c r="J202" s="45" t="s">
        <x:v>1159</x:v>
      </x:c>
      <x:c r="K202" s="46" t="s">
        <x:v>1160</x:v>
      </x:c>
      <x:c r="L202" s="45" t="s">
        <x:v>330</x:v>
      </x:c>
      <x:c r="M202" s="45" t="s">
        <x:v>331</x:v>
      </x:c>
      <x:c r="N202" s="49" t="s">
        <x:v>332</x:v>
      </x:c>
      <x:c r="O202" s="45" t="s">
        <x:v>679</x:v>
      </x:c>
      <x:c r="P202" s="46" t="s">
        <x:v>1161</x:v>
      </x:c>
      <x:c r="Q202" s="45" t="s">
        <x:v>115</x:v>
      </x:c>
      <x:c r="R202" s="50" t="s">
        <x:v>1162</x:v>
      </x:c>
      <x:c r="S202" s="46"/>
      <x:c r="T202" s="42" t="s">
        <x:v>30</x:v>
      </x:c>
      <x:c r="U202" s="43" t="s">
        <x:v>41</x:v>
      </x:c>
      <x:c r="V202" s="43" t="s">
        <x:v>682</x:v>
      </x:c>
      <x:c r="W202" s="8" t="str">
        <x:f>+VLOOKUP($A202,'TMS- NODE'!$A$6:$N$260,6,0)</x:f>
        <x:v>107.755025692453,16.4708932013894</x:v>
      </x:c>
    </x:row>
    <x:row r="203">
      <x:c r="A203" s="34" t="s">
        <x:v>1163</x:v>
      </x:c>
      <x:c r="B203" s="44" t="s">
        <x:v>1164</x:v>
      </x:c>
      <x:c r="C203" s="45" t="s">
        <x:v>28</x:v>
      </x:c>
      <x:c r="D203" s="45" t="s">
        <x:v>29</x:v>
      </x:c>
      <x:c r="E203" s="46" t="s">
        <x:v>30</x:v>
      </x:c>
      <x:c r="F203" s="45" t="s">
        <x:v>29</x:v>
      </x:c>
      <x:c r="G203" s="46" t="s">
        <x:v>31</x:v>
      </x:c>
      <x:c r="H203" s="47" t="s">
        <x:v>327</x:v>
      </x:c>
      <x:c r="I203" s="48" t="s">
        <x:v>328</x:v>
      </x:c>
      <x:c r="J203" s="45" t="s">
        <x:v>1164</x:v>
      </x:c>
      <x:c r="K203" s="46" t="s">
        <x:v>1165</x:v>
      </x:c>
      <x:c r="L203" s="45" t="s">
        <x:v>330</x:v>
      </x:c>
      <x:c r="M203" s="45" t="s">
        <x:v>331</x:v>
      </x:c>
      <x:c r="N203" s="49" t="s">
        <x:v>332</x:v>
      </x:c>
      <x:c r="O203" s="45" t="s">
        <x:v>679</x:v>
      </x:c>
      <x:c r="P203" s="46" t="s">
        <x:v>241</x:v>
      </x:c>
      <x:c r="Q203" s="45" t="s">
        <x:v>115</x:v>
      </x:c>
      <x:c r="R203" s="50" t="s">
        <x:v>1166</x:v>
      </x:c>
      <x:c r="S203" s="46"/>
      <x:c r="T203" s="42" t="s">
        <x:v>30</x:v>
      </x:c>
      <x:c r="U203" s="43" t="s">
        <x:v>41</x:v>
      </x:c>
      <x:c r="V203" s="43" t="s">
        <x:v>682</x:v>
      </x:c>
      <x:c r="W203" s="8" t="str">
        <x:f>+VLOOKUP($A203,'TMS- NODE'!$A$6:$N$260,6,0)</x:f>
        <x:v>107.784874,16.4335387</x:v>
      </x:c>
    </x:row>
    <x:row r="204">
      <x:c r="A204" s="34" t="s">
        <x:v>1167</x:v>
      </x:c>
      <x:c r="B204" s="44" t="s">
        <x:v>1168</x:v>
      </x:c>
      <x:c r="C204" s="45" t="s">
        <x:v>28</x:v>
      </x:c>
      <x:c r="D204" s="45" t="s">
        <x:v>29</x:v>
      </x:c>
      <x:c r="E204" s="46" t="s">
        <x:v>30</x:v>
      </x:c>
      <x:c r="F204" s="45" t="s">
        <x:v>29</x:v>
      </x:c>
      <x:c r="G204" s="46" t="s">
        <x:v>31</x:v>
      </x:c>
      <x:c r="H204" s="47" t="s">
        <x:v>99</x:v>
      </x:c>
      <x:c r="I204" s="48" t="s">
        <x:v>100</x:v>
      </x:c>
      <x:c r="J204" s="45" t="s">
        <x:v>1168</x:v>
      </x:c>
      <x:c r="K204" s="46" t="s">
        <x:v>1169</x:v>
      </x:c>
      <x:c r="L204" s="45" t="s">
        <x:v>182</x:v>
      </x:c>
      <x:c r="M204" s="45" t="s">
        <x:v>183</x:v>
      </x:c>
      <x:c r="N204" s="49" t="s">
        <x:v>184</x:v>
      </x:c>
      <x:c r="O204" s="45" t="s">
        <x:v>679</x:v>
      </x:c>
      <x:c r="P204" s="46" t="s">
        <x:v>1170</x:v>
      </x:c>
      <x:c r="Q204" s="45" t="s">
        <x:v>115</x:v>
      </x:c>
      <x:c r="R204" s="50" t="s">
        <x:v>1171</x:v>
      </x:c>
      <x:c r="S204" s="46"/>
      <x:c r="T204" s="42" t="s">
        <x:v>30</x:v>
      </x:c>
      <x:c r="U204" s="43" t="s">
        <x:v>41</x:v>
      </x:c>
      <x:c r="V204" s="43" t="s">
        <x:v>682</x:v>
      </x:c>
      <x:c r="W204" s="8" t="str">
        <x:f>+VLOOKUP($A204,'TMS- NODE'!$A$6:$N$260,6,0)</x:f>
        <x:v>107.9263386,16.32274271</x:v>
      </x:c>
    </x:row>
    <x:row r="205">
      <x:c r="A205" s="34" t="s">
        <x:v>1172</x:v>
      </x:c>
      <x:c r="B205" s="44" t="s">
        <x:v>1173</x:v>
      </x:c>
      <x:c r="C205" s="45" t="s">
        <x:v>28</x:v>
      </x:c>
      <x:c r="D205" s="45" t="s">
        <x:v>29</x:v>
      </x:c>
      <x:c r="E205" s="46" t="s">
        <x:v>30</x:v>
      </x:c>
      <x:c r="F205" s="45" t="s">
        <x:v>29</x:v>
      </x:c>
      <x:c r="G205" s="46" t="s">
        <x:v>31</x:v>
      </x:c>
      <x:c r="H205" s="47" t="s">
        <x:v>352</x:v>
      </x:c>
      <x:c r="I205" s="48" t="s">
        <x:v>353</x:v>
      </x:c>
      <x:c r="J205" s="45" t="s">
        <x:v>1173</x:v>
      </x:c>
      <x:c r="K205" s="46" t="s">
        <x:v>1174</x:v>
      </x:c>
      <x:c r="L205" s="45" t="s">
        <x:v>102</x:v>
      </x:c>
      <x:c r="M205" s="45" t="s">
        <x:v>103</x:v>
      </x:c>
      <x:c r="N205" s="49" t="s">
        <x:v>104</x:v>
      </x:c>
      <x:c r="O205" s="45" t="s">
        <x:v>679</x:v>
      </x:c>
      <x:c r="P205" s="46" t="s">
        <x:v>1175</x:v>
      </x:c>
      <x:c r="Q205" s="45" t="s">
        <x:v>115</x:v>
      </x:c>
      <x:c r="R205" s="50" t="s">
        <x:v>1176</x:v>
      </x:c>
      <x:c r="S205" s="46"/>
      <x:c r="T205" s="42" t="s">
        <x:v>30</x:v>
      </x:c>
      <x:c r="U205" s="43" t="s">
        <x:v>41</x:v>
      </x:c>
      <x:c r="V205" s="43" t="s">
        <x:v>682</x:v>
      </x:c>
      <x:c r="W205" s="8" t="str">
        <x:f>+VLOOKUP($A205,'TMS- NODE'!$A$6:$N$260,6,0)</x:f>
        <x:v>107.8803747,16.37878783</x:v>
      </x:c>
    </x:row>
    <x:row r="206">
      <x:c r="A206" s="34" t="s">
        <x:v>1177</x:v>
      </x:c>
      <x:c r="B206" s="44" t="s">
        <x:v>1178</x:v>
      </x:c>
      <x:c r="C206" s="45" t="s">
        <x:v>28</x:v>
      </x:c>
      <x:c r="D206" s="45" t="s">
        <x:v>29</x:v>
      </x:c>
      <x:c r="E206" s="46" t="s">
        <x:v>30</x:v>
      </x:c>
      <x:c r="F206" s="45" t="s">
        <x:v>29</x:v>
      </x:c>
      <x:c r="G206" s="46" t="s">
        <x:v>31</x:v>
      </x:c>
      <x:c r="H206" s="47" t="s">
        <x:v>352</x:v>
      </x:c>
      <x:c r="I206" s="48" t="s">
        <x:v>353</x:v>
      </x:c>
      <x:c r="J206" s="45" t="s">
        <x:v>1178</x:v>
      </x:c>
      <x:c r="K206" s="46" t="s">
        <x:v>1179</x:v>
      </x:c>
      <x:c r="L206" s="45" t="s">
        <x:v>102</x:v>
      </x:c>
      <x:c r="M206" s="45" t="s">
        <x:v>103</x:v>
      </x:c>
      <x:c r="N206" s="49" t="s">
        <x:v>104</x:v>
      </x:c>
      <x:c r="O206" s="45" t="s">
        <x:v>679</x:v>
      </x:c>
      <x:c r="P206" s="46" t="s">
        <x:v>1180</x:v>
      </x:c>
      <x:c r="Q206" s="45" t="s">
        <x:v>115</x:v>
      </x:c>
      <x:c r="R206" s="50" t="s">
        <x:v>1181</x:v>
      </x:c>
      <x:c r="S206" s="46"/>
      <x:c r="T206" s="42" t="s">
        <x:v>30</x:v>
      </x:c>
      <x:c r="U206" s="43" t="s">
        <x:v>41</x:v>
      </x:c>
      <x:c r="V206" s="43" t="s">
        <x:v>682</x:v>
      </x:c>
      <x:c r="W206" s="8" t="str">
        <x:f>+VLOOKUP($A206,'TMS- NODE'!$A$6:$N$260,6,0)</x:f>
        <x:v>107.8273799,16.39411377</x:v>
      </x:c>
    </x:row>
    <x:row r="207">
      <x:c r="A207" s="34" t="s">
        <x:v>1182</x:v>
      </x:c>
      <x:c r="B207" s="44" t="s">
        <x:v>1183</x:v>
      </x:c>
      <x:c r="C207" s="45" t="s">
        <x:v>28</x:v>
      </x:c>
      <x:c r="D207" s="45" t="s">
        <x:v>29</x:v>
      </x:c>
      <x:c r="E207" s="46" t="s">
        <x:v>30</x:v>
      </x:c>
      <x:c r="F207" s="45" t="s">
        <x:v>29</x:v>
      </x:c>
      <x:c r="G207" s="46" t="s">
        <x:v>31</x:v>
      </x:c>
      <x:c r="H207" s="47" t="s">
        <x:v>352</x:v>
      </x:c>
      <x:c r="I207" s="48" t="s">
        <x:v>353</x:v>
      </x:c>
      <x:c r="J207" s="45" t="s">
        <x:v>1183</x:v>
      </x:c>
      <x:c r="K207" s="46" t="s">
        <x:v>1184</x:v>
      </x:c>
      <x:c r="L207" s="45" t="s">
        <x:v>102</x:v>
      </x:c>
      <x:c r="M207" s="45" t="s">
        <x:v>103</x:v>
      </x:c>
      <x:c r="N207" s="49" t="s">
        <x:v>104</x:v>
      </x:c>
      <x:c r="O207" s="45" t="s">
        <x:v>679</x:v>
      </x:c>
      <x:c r="P207" s="46" t="s">
        <x:v>251</x:v>
      </x:c>
      <x:c r="Q207" s="45" t="s">
        <x:v>115</x:v>
      </x:c>
      <x:c r="R207" s="50" t="s">
        <x:v>1185</x:v>
      </x:c>
      <x:c r="S207" s="46"/>
      <x:c r="T207" s="42" t="s">
        <x:v>30</x:v>
      </x:c>
      <x:c r="U207" s="43" t="s">
        <x:v>41</x:v>
      </x:c>
      <x:c r="V207" s="43" t="s">
        <x:v>682</x:v>
      </x:c>
      <x:c r="W207" s="8" t="str">
        <x:f>+VLOOKUP($A207,'TMS- NODE'!$A$6:$N$260,6,0)</x:f>
        <x:v>107.8521338,16.3781616</x:v>
      </x:c>
    </x:row>
    <x:row r="208">
      <x:c r="A208" s="34" t="s">
        <x:v>1186</x:v>
      </x:c>
      <x:c r="B208" s="44" t="s">
        <x:v>1187</x:v>
      </x:c>
      <x:c r="C208" s="45" t="s">
        <x:v>28</x:v>
      </x:c>
      <x:c r="D208" s="45" t="s">
        <x:v>29</x:v>
      </x:c>
      <x:c r="E208" s="46" t="s">
        <x:v>30</x:v>
      </x:c>
      <x:c r="F208" s="45" t="s">
        <x:v>29</x:v>
      </x:c>
      <x:c r="G208" s="46" t="s">
        <x:v>31</x:v>
      </x:c>
      <x:c r="H208" s="47" t="s">
        <x:v>1188</x:v>
      </x:c>
      <x:c r="I208" s="48" t="s">
        <x:v>1189</x:v>
      </x:c>
      <x:c r="J208" s="45" t="s">
        <x:v>1187</x:v>
      </x:c>
      <x:c r="K208" s="46" t="s">
        <x:v>1190</x:v>
      </x:c>
      <x:c r="L208" s="45" t="s">
        <x:v>520</x:v>
      </x:c>
      <x:c r="M208" s="45" t="s">
        <x:v>521</x:v>
      </x:c>
      <x:c r="N208" s="49" t="s">
        <x:v>522</x:v>
      </x:c>
      <x:c r="O208" s="45" t="s">
        <x:v>679</x:v>
      </x:c>
      <x:c r="P208" s="46" t="s">
        <x:v>1191</x:v>
      </x:c>
      <x:c r="Q208" s="45" t="s">
        <x:v>115</x:v>
      </x:c>
      <x:c r="R208" s="50" t="s">
        <x:v>1192</x:v>
      </x:c>
      <x:c r="S208" s="46"/>
      <x:c r="T208" s="42" t="s">
        <x:v>30</x:v>
      </x:c>
      <x:c r="U208" s="43" t="s">
        <x:v>41</x:v>
      </x:c>
      <x:c r="V208" s="43" t="s">
        <x:v>682</x:v>
      </x:c>
      <x:c r="W208" s="8" t="str">
        <x:f>+VLOOKUP($A208,'TMS- NODE'!$A$6:$N$260,6,0)</x:f>
        <x:v>107.7701211,16.32429538</x:v>
      </x:c>
    </x:row>
    <x:row r="209">
      <x:c r="A209" s="34" t="s">
        <x:v>1193</x:v>
      </x:c>
      <x:c r="B209" s="44" t="s">
        <x:v>1194</x:v>
      </x:c>
      <x:c r="C209" s="45" t="s">
        <x:v>28</x:v>
      </x:c>
      <x:c r="D209" s="45" t="s">
        <x:v>29</x:v>
      </x:c>
      <x:c r="E209" s="46" t="s">
        <x:v>30</x:v>
      </x:c>
      <x:c r="F209" s="45" t="s">
        <x:v>29</x:v>
      </x:c>
      <x:c r="G209" s="46" t="s">
        <x:v>31</x:v>
      </x:c>
      <x:c r="H209" s="47" t="s">
        <x:v>364</x:v>
      </x:c>
      <x:c r="I209" s="48" t="s">
        <x:v>365</x:v>
      </x:c>
      <x:c r="J209" s="45" t="s">
        <x:v>1194</x:v>
      </x:c>
      <x:c r="K209" s="46" t="s">
        <x:v>66</x:v>
      </x:c>
      <x:c r="L209" s="45" t="s">
        <x:v>367</x:v>
      </x:c>
      <x:c r="M209" s="45" t="s">
        <x:v>368</x:v>
      </x:c>
      <x:c r="N209" s="49" t="s">
        <x:v>369</x:v>
      </x:c>
      <x:c r="O209" s="45" t="s">
        <x:v>679</x:v>
      </x:c>
      <x:c r="P209" s="46" t="s">
        <x:v>1195</x:v>
      </x:c>
      <x:c r="Q209" s="45" t="s">
        <x:v>115</x:v>
      </x:c>
      <x:c r="R209" s="50" t="s">
        <x:v>1196</x:v>
      </x:c>
      <x:c r="S209" s="46"/>
      <x:c r="T209" s="42" t="s">
        <x:v>30</x:v>
      </x:c>
      <x:c r="U209" s="43" t="s">
        <x:v>41</x:v>
      </x:c>
      <x:c r="V209" s="43" t="s">
        <x:v>682</x:v>
      </x:c>
      <x:c r="W209" s="8" t="str">
        <x:f>+VLOOKUP($A209,'TMS- NODE'!$A$6:$N$260,6,0)</x:f>
        <x:v>107.7392913,16.3469727</x:v>
      </x:c>
    </x:row>
    <x:row r="210">
      <x:c r="A210" s="34" t="s">
        <x:v>1197</x:v>
      </x:c>
      <x:c r="B210" s="44" t="s">
        <x:v>1198</x:v>
      </x:c>
      <x:c r="C210" s="45" t="s">
        <x:v>28</x:v>
      </x:c>
      <x:c r="D210" s="45" t="s">
        <x:v>29</x:v>
      </x:c>
      <x:c r="E210" s="46" t="s">
        <x:v>30</x:v>
      </x:c>
      <x:c r="F210" s="45" t="s">
        <x:v>29</x:v>
      </x:c>
      <x:c r="G210" s="46" t="s">
        <x:v>31</x:v>
      </x:c>
      <x:c r="H210" s="47" t="s">
        <x:v>364</x:v>
      </x:c>
      <x:c r="I210" s="48" t="s">
        <x:v>365</x:v>
      </x:c>
      <x:c r="J210" s="45" t="s">
        <x:v>1198</x:v>
      </x:c>
      <x:c r="K210" s="46" t="s">
        <x:v>1199</x:v>
      </x:c>
      <x:c r="L210" s="45" t="s">
        <x:v>367</x:v>
      </x:c>
      <x:c r="M210" s="45" t="s">
        <x:v>368</x:v>
      </x:c>
      <x:c r="N210" s="49" t="s">
        <x:v>369</x:v>
      </x:c>
      <x:c r="O210" s="45" t="s">
        <x:v>679</x:v>
      </x:c>
      <x:c r="P210" s="46" t="s">
        <x:v>1200</x:v>
      </x:c>
      <x:c r="Q210" s="45" t="s">
        <x:v>115</x:v>
      </x:c>
      <x:c r="R210" s="50" t="s">
        <x:v>1201</x:v>
      </x:c>
      <x:c r="S210" s="46"/>
      <x:c r="T210" s="42" t="s">
        <x:v>30</x:v>
      </x:c>
      <x:c r="U210" s="43" t="s">
        <x:v>41</x:v>
      </x:c>
      <x:c r="V210" s="43" t="s">
        <x:v>682</x:v>
      </x:c>
      <x:c r="W210" s="8" t="str">
        <x:f>+VLOOKUP($A210,'TMS- NODE'!$A$6:$N$260,6,0)</x:f>
        <x:v>107.7356297,16.35843112</x:v>
      </x:c>
    </x:row>
    <x:row r="211">
      <x:c r="A211" s="34" t="s">
        <x:v>1202</x:v>
      </x:c>
      <x:c r="B211" s="44" t="s">
        <x:v>1203</x:v>
      </x:c>
      <x:c r="C211" s="45" t="s">
        <x:v>28</x:v>
      </x:c>
      <x:c r="D211" s="45" t="s">
        <x:v>29</x:v>
      </x:c>
      <x:c r="E211" s="46" t="s">
        <x:v>30</x:v>
      </x:c>
      <x:c r="F211" s="45" t="s">
        <x:v>29</x:v>
      </x:c>
      <x:c r="G211" s="46" t="s">
        <x:v>31</x:v>
      </x:c>
      <x:c r="H211" s="47" t="s">
        <x:v>1188</x:v>
      </x:c>
      <x:c r="I211" s="48" t="s">
        <x:v>1189</x:v>
      </x:c>
      <x:c r="J211" s="45" t="s">
        <x:v>1203</x:v>
      </x:c>
      <x:c r="K211" s="46" t="s">
        <x:v>1204</x:v>
      </x:c>
      <x:c r="L211" s="45" t="s">
        <x:v>520</x:v>
      </x:c>
      <x:c r="M211" s="45" t="s">
        <x:v>521</x:v>
      </x:c>
      <x:c r="N211" s="49" t="s">
        <x:v>522</x:v>
      </x:c>
      <x:c r="O211" s="45" t="s">
        <x:v>679</x:v>
      </x:c>
      <x:c r="P211" s="46" t="s">
        <x:v>1205</x:v>
      </x:c>
      <x:c r="Q211" s="45" t="s">
        <x:v>115</x:v>
      </x:c>
      <x:c r="R211" s="50" t="s">
        <x:v>1206</x:v>
      </x:c>
      <x:c r="S211" s="46"/>
      <x:c r="T211" s="42" t="s">
        <x:v>30</x:v>
      </x:c>
      <x:c r="U211" s="43" t="s">
        <x:v>41</x:v>
      </x:c>
      <x:c r="V211" s="43" t="s">
        <x:v>682</x:v>
      </x:c>
      <x:c r="W211" s="8" t="str">
        <x:f>+VLOOKUP($A211,'TMS- NODE'!$A$6:$N$260,6,0)</x:f>
        <x:v>107.7799425,16.31588306</x:v>
      </x:c>
    </x:row>
    <x:row r="212">
      <x:c r="A212" s="34" t="s">
        <x:v>1207</x:v>
      </x:c>
      <x:c r="B212" s="44" t="s">
        <x:v>1208</x:v>
      </x:c>
      <x:c r="C212" s="45" t="s">
        <x:v>28</x:v>
      </x:c>
      <x:c r="D212" s="45" t="s">
        <x:v>29</x:v>
      </x:c>
      <x:c r="E212" s="46" t="s">
        <x:v>30</x:v>
      </x:c>
      <x:c r="F212" s="45" t="s">
        <x:v>29</x:v>
      </x:c>
      <x:c r="G212" s="46" t="s">
        <x:v>31</x:v>
      </x:c>
      <x:c r="H212" s="47" t="s">
        <x:v>1188</x:v>
      </x:c>
      <x:c r="I212" s="48" t="s">
        <x:v>1189</x:v>
      </x:c>
      <x:c r="J212" s="45" t="s">
        <x:v>1208</x:v>
      </x:c>
      <x:c r="K212" s="46" t="s">
        <x:v>1209</x:v>
      </x:c>
      <x:c r="L212" s="45" t="s">
        <x:v>520</x:v>
      </x:c>
      <x:c r="M212" s="45" t="s">
        <x:v>521</x:v>
      </x:c>
      <x:c r="N212" s="49" t="s">
        <x:v>522</x:v>
      </x:c>
      <x:c r="O212" s="45" t="s">
        <x:v>679</x:v>
      </x:c>
      <x:c r="P212" s="46" t="s">
        <x:v>251</x:v>
      </x:c>
      <x:c r="Q212" s="45" t="s">
        <x:v>115</x:v>
      </x:c>
      <x:c r="R212" s="50" t="s">
        <x:v>1210</x:v>
      </x:c>
      <x:c r="S212" s="46"/>
      <x:c r="T212" s="42" t="s">
        <x:v>30</x:v>
      </x:c>
      <x:c r="U212" s="43" t="s">
        <x:v>41</x:v>
      </x:c>
      <x:c r="V212" s="43" t="s">
        <x:v>682</x:v>
      </x:c>
      <x:c r="W212" s="8" t="str">
        <x:f>+VLOOKUP($A212,'TMS- NODE'!$A$6:$N$260,6,0)</x:f>
        <x:v>107.7810448,16.27289068</x:v>
      </x:c>
    </x:row>
    <x:row r="213">
      <x:c r="A213" s="34" t="s">
        <x:v>1211</x:v>
      </x:c>
      <x:c r="B213" s="44" t="s">
        <x:v>1212</x:v>
      </x:c>
      <x:c r="C213" s="45" t="s">
        <x:v>28</x:v>
      </x:c>
      <x:c r="D213" s="45" t="s">
        <x:v>29</x:v>
      </x:c>
      <x:c r="E213" s="46" t="s">
        <x:v>30</x:v>
      </x:c>
      <x:c r="F213" s="45" t="s">
        <x:v>29</x:v>
      </x:c>
      <x:c r="G213" s="46" t="s">
        <x:v>31</x:v>
      </x:c>
      <x:c r="H213" s="47" t="s">
        <x:v>364</x:v>
      </x:c>
      <x:c r="I213" s="48" t="s">
        <x:v>365</x:v>
      </x:c>
      <x:c r="J213" s="45" t="s">
        <x:v>1212</x:v>
      </x:c>
      <x:c r="K213" s="46" t="s">
        <x:v>1213</x:v>
      </x:c>
      <x:c r="L213" s="45" t="s">
        <x:v>367</x:v>
      </x:c>
      <x:c r="M213" s="45" t="s">
        <x:v>368</x:v>
      </x:c>
      <x:c r="N213" s="49" t="s">
        <x:v>369</x:v>
      </x:c>
      <x:c r="O213" s="45" t="s">
        <x:v>679</x:v>
      </x:c>
      <x:c r="P213" s="46" t="s">
        <x:v>241</x:v>
      </x:c>
      <x:c r="Q213" s="45" t="s">
        <x:v>115</x:v>
      </x:c>
      <x:c r="R213" s="50" t="s">
        <x:v>1214</x:v>
      </x:c>
      <x:c r="S213" s="46"/>
      <x:c r="T213" s="42" t="s">
        <x:v>30</x:v>
      </x:c>
      <x:c r="U213" s="43" t="s">
        <x:v>41</x:v>
      </x:c>
      <x:c r="V213" s="43" t="s">
        <x:v>682</x:v>
      </x:c>
      <x:c r="W213" s="8" t="str">
        <x:f>+VLOOKUP($A213,'TMS- NODE'!$A$6:$N$260,6,0)</x:f>
        <x:v>107.7029243,16.26247539</x:v>
      </x:c>
    </x:row>
    <x:row r="214">
      <x:c r="A214" s="34" t="s">
        <x:v>1215</x:v>
      </x:c>
      <x:c r="B214" s="44" t="s">
        <x:v>1216</x:v>
      </x:c>
      <x:c r="C214" s="45" t="s">
        <x:v>28</x:v>
      </x:c>
      <x:c r="D214" s="45" t="s">
        <x:v>29</x:v>
      </x:c>
      <x:c r="E214" s="46" t="s">
        <x:v>30</x:v>
      </x:c>
      <x:c r="F214" s="45" t="s">
        <x:v>29</x:v>
      </x:c>
      <x:c r="G214" s="46" t="s">
        <x:v>31</x:v>
      </x:c>
      <x:c r="H214" s="47" t="s">
        <x:v>99</x:v>
      </x:c>
      <x:c r="I214" s="48" t="s">
        <x:v>100</x:v>
      </x:c>
      <x:c r="J214" s="45" t="s">
        <x:v>1216</x:v>
      </x:c>
      <x:c r="K214" s="46" t="s">
        <x:v>1217</x:v>
      </x:c>
      <x:c r="L214" s="45" t="s">
        <x:v>182</x:v>
      </x:c>
      <x:c r="M214" s="45" t="s">
        <x:v>183</x:v>
      </x:c>
      <x:c r="N214" s="49" t="s">
        <x:v>184</x:v>
      </x:c>
      <x:c r="O214" s="45" t="s">
        <x:v>679</x:v>
      </x:c>
      <x:c r="P214" s="46" t="s">
        <x:v>1218</x:v>
      </x:c>
      <x:c r="Q214" s="45" t="s">
        <x:v>115</x:v>
      </x:c>
      <x:c r="R214" s="50" t="s">
        <x:v>1219</x:v>
      </x:c>
      <x:c r="S214" s="46"/>
      <x:c r="T214" s="42" t="s">
        <x:v>30</x:v>
      </x:c>
      <x:c r="U214" s="43" t="s">
        <x:v>41</x:v>
      </x:c>
      <x:c r="V214" s="43" t="s">
        <x:v>682</x:v>
      </x:c>
      <x:c r="W214" s="8" t="str">
        <x:f>+VLOOKUP($A214,'TMS- NODE'!$A$6:$N$260,6,0)</x:f>
        <x:v>107.8836566,16.27022371</x:v>
      </x:c>
    </x:row>
    <x:row r="215">
      <x:c r="A215" s="34" t="s">
        <x:v>1220</x:v>
      </x:c>
      <x:c r="B215" s="44" t="s">
        <x:v>1221</x:v>
      </x:c>
      <x:c r="C215" s="45" t="s">
        <x:v>28</x:v>
      </x:c>
      <x:c r="D215" s="45" t="s">
        <x:v>29</x:v>
      </x:c>
      <x:c r="E215" s="46" t="s">
        <x:v>30</x:v>
      </x:c>
      <x:c r="F215" s="45" t="s">
        <x:v>29</x:v>
      </x:c>
      <x:c r="G215" s="46" t="s">
        <x:v>31</x:v>
      </x:c>
      <x:c r="H215" s="47" t="s">
        <x:v>342</x:v>
      </x:c>
      <x:c r="I215" s="48" t="s">
        <x:v>343</x:v>
      </x:c>
      <x:c r="J215" s="45" t="s">
        <x:v>1221</x:v>
      </x:c>
      <x:c r="K215" s="46" t="s">
        <x:v>1222</x:v>
      </x:c>
      <x:c r="L215" s="45" t="s">
        <x:v>345</x:v>
      </x:c>
      <x:c r="M215" s="45" t="s">
        <x:v>346</x:v>
      </x:c>
      <x:c r="N215" s="49" t="s">
        <x:v>347</x:v>
      </x:c>
      <x:c r="O215" s="45" t="s">
        <x:v>679</x:v>
      </x:c>
      <x:c r="P215" s="46" t="s">
        <x:v>1223</x:v>
      </x:c>
      <x:c r="Q215" s="45" t="s">
        <x:v>115</x:v>
      </x:c>
      <x:c r="R215" s="50" t="s">
        <x:v>1224</x:v>
      </x:c>
      <x:c r="S215" s="46"/>
      <x:c r="T215" s="42" t="s">
        <x:v>30</x:v>
      </x:c>
      <x:c r="U215" s="43" t="s">
        <x:v>41</x:v>
      </x:c>
      <x:c r="V215" s="43" t="s">
        <x:v>682</x:v>
      </x:c>
      <x:c r="W215" s="8" t="str">
        <x:f>+VLOOKUP($A215,'TMS- NODE'!$A$6:$N$260,6,0)</x:f>
        <x:v>107.9370636,16.2725688</x:v>
      </x:c>
    </x:row>
    <x:row r="216">
      <x:c r="A216" s="34" t="s">
        <x:v>1225</x:v>
      </x:c>
      <x:c r="B216" s="35" t="s">
        <x:v>1226</x:v>
      </x:c>
      <x:c r="C216" s="36" t="s">
        <x:v>28</x:v>
      </x:c>
      <x:c r="D216" s="36" t="s">
        <x:v>29</x:v>
      </x:c>
      <x:c r="E216" s="37" t="s">
        <x:v>30</x:v>
      </x:c>
      <x:c r="F216" s="36" t="s">
        <x:v>29</x:v>
      </x:c>
      <x:c r="G216" s="37" t="s">
        <x:v>31</x:v>
      </x:c>
      <x:c r="H216" s="38" t="s">
        <x:v>393</x:v>
      </x:c>
      <x:c r="I216" s="39" t="s">
        <x:v>394</x:v>
      </x:c>
      <x:c r="J216" s="36" t="s">
        <x:v>1226</x:v>
      </x:c>
      <x:c r="K216" s="37" t="s">
        <x:v>1227</x:v>
      </x:c>
      <x:c r="L216" s="36"/>
      <x:c r="M216" s="36"/>
      <x:c r="N216" s="40"/>
      <x:c r="O216" s="36" t="s">
        <x:v>679</x:v>
      </x:c>
      <x:c r="P216" s="37" t="s">
        <x:v>1228</x:v>
      </x:c>
      <x:c r="Q216" s="36" t="s">
        <x:v>40</x:v>
      </x:c>
      <x:c r="R216" s="41" t="s">
        <x:v>1229</x:v>
      </x:c>
      <x:c r="S216" s="37"/>
      <x:c r="T216" s="42" t="s">
        <x:v>30</x:v>
      </x:c>
      <x:c r="U216" s="43" t="s">
        <x:v>41</x:v>
      </x:c>
      <x:c r="V216" s="43" t="s">
        <x:v>682</x:v>
      </x:c>
      <x:c r="W216" s="8" t="str">
        <x:f>+VLOOKUP($A216,'TMS- NODE'!$A$6:$N$260,6,0)</x:f>
        <x:v>107.334833550668,16.138736105836</x:v>
      </x:c>
    </x:row>
    <x:row r="217">
      <x:c r="A217" s="34" t="s">
        <x:v>1230</x:v>
      </x:c>
      <x:c r="B217" s="35" t="s">
        <x:v>1231</x:v>
      </x:c>
      <x:c r="C217" s="36" t="s">
        <x:v>28</x:v>
      </x:c>
      <x:c r="D217" s="36" t="s">
        <x:v>29</x:v>
      </x:c>
      <x:c r="E217" s="37" t="s">
        <x:v>30</x:v>
      </x:c>
      <x:c r="F217" s="36" t="s">
        <x:v>29</x:v>
      </x:c>
      <x:c r="G217" s="37" t="s">
        <x:v>31</x:v>
      </x:c>
      <x:c r="H217" s="38" t="s">
        <x:v>393</x:v>
      </x:c>
      <x:c r="I217" s="39" t="s">
        <x:v>394</x:v>
      </x:c>
      <x:c r="J217" s="36" t="s">
        <x:v>1231</x:v>
      </x:c>
      <x:c r="K217" s="37" t="s">
        <x:v>1232</x:v>
      </x:c>
      <x:c r="L217" s="36"/>
      <x:c r="M217" s="36"/>
      <x:c r="N217" s="40"/>
      <x:c r="O217" s="36" t="s">
        <x:v>679</x:v>
      </x:c>
      <x:c r="P217" s="37" t="s">
        <x:v>1233</x:v>
      </x:c>
      <x:c r="Q217" s="36" t="s">
        <x:v>40</x:v>
      </x:c>
      <x:c r="R217" s="41" t="s">
        <x:v>1234</x:v>
      </x:c>
      <x:c r="S217" s="37"/>
      <x:c r="T217" s="42" t="s">
        <x:v>30</x:v>
      </x:c>
      <x:c r="U217" s="43" t="s">
        <x:v>41</x:v>
      </x:c>
      <x:c r="V217" s="43" t="s">
        <x:v>682</x:v>
      </x:c>
      <x:c r="W217" s="8" t="str">
        <x:f>+VLOOKUP($A217,'TMS- NODE'!$A$6:$N$260,6,0)</x:f>
        <x:v>107.193045709076,16.3107794166709</x:v>
      </x:c>
    </x:row>
    <x:row r="218">
      <x:c r="A218" s="34" t="s">
        <x:v>1235</x:v>
      </x:c>
      <x:c r="B218" s="35" t="s">
        <x:v>1236</x:v>
      </x:c>
      <x:c r="C218" s="36" t="s">
        <x:v>28</x:v>
      </x:c>
      <x:c r="D218" s="36" t="s">
        <x:v>29</x:v>
      </x:c>
      <x:c r="E218" s="37" t="s">
        <x:v>30</x:v>
      </x:c>
      <x:c r="F218" s="36" t="s">
        <x:v>29</x:v>
      </x:c>
      <x:c r="G218" s="37" t="s">
        <x:v>31</x:v>
      </x:c>
      <x:c r="H218" s="38" t="s">
        <x:v>393</x:v>
      </x:c>
      <x:c r="I218" s="39" t="s">
        <x:v>394</x:v>
      </x:c>
      <x:c r="J218" s="36" t="s">
        <x:v>1236</x:v>
      </x:c>
      <x:c r="K218" s="37" t="s">
        <x:v>1237</x:v>
      </x:c>
      <x:c r="L218" s="36"/>
      <x:c r="M218" s="36"/>
      <x:c r="N218" s="40"/>
      <x:c r="O218" s="36" t="s">
        <x:v>679</x:v>
      </x:c>
      <x:c r="P218" s="37" t="s">
        <x:v>1238</x:v>
      </x:c>
      <x:c r="Q218" s="36" t="s">
        <x:v>40</x:v>
      </x:c>
      <x:c r="R218" s="41" t="s">
        <x:v>1239</x:v>
      </x:c>
      <x:c r="S218" s="37"/>
      <x:c r="T218" s="42" t="s">
        <x:v>30</x:v>
      </x:c>
      <x:c r="U218" s="43" t="s">
        <x:v>41</x:v>
      </x:c>
      <x:c r="V218" s="43" t="s">
        <x:v>682</x:v>
      </x:c>
      <x:c r="W218" s="8" t="str">
        <x:f>+VLOOKUP($A218,'TMS- NODE'!$A$6:$N$260,6,0)</x:f>
        <x:v>107.158957196231,16.339219697399</x:v>
      </x:c>
    </x:row>
    <x:row r="219">
      <x:c r="A219" s="34" t="s">
        <x:v>1240</x:v>
      </x:c>
      <x:c r="B219" s="35" t="s">
        <x:v>1241</x:v>
      </x:c>
      <x:c r="C219" s="36" t="s">
        <x:v>28</x:v>
      </x:c>
      <x:c r="D219" s="36" t="s">
        <x:v>29</x:v>
      </x:c>
      <x:c r="E219" s="37" t="s">
        <x:v>30</x:v>
      </x:c>
      <x:c r="F219" s="36" t="s">
        <x:v>29</x:v>
      </x:c>
      <x:c r="G219" s="37" t="s">
        <x:v>31</x:v>
      </x:c>
      <x:c r="H219" s="38" t="s">
        <x:v>393</x:v>
      </x:c>
      <x:c r="I219" s="39" t="s">
        <x:v>394</x:v>
      </x:c>
      <x:c r="J219" s="36" t="s">
        <x:v>1241</x:v>
      </x:c>
      <x:c r="K219" s="37" t="s">
        <x:v>1242</x:v>
      </x:c>
      <x:c r="L219" s="36"/>
      <x:c r="M219" s="36"/>
      <x:c r="N219" s="40"/>
      <x:c r="O219" s="36" t="s">
        <x:v>679</x:v>
      </x:c>
      <x:c r="P219" s="37" t="s">
        <x:v>1243</x:v>
      </x:c>
      <x:c r="Q219" s="36" t="s">
        <x:v>40</x:v>
      </x:c>
      <x:c r="R219" s="41" t="s">
        <x:v>1244</x:v>
      </x:c>
      <x:c r="S219" s="37"/>
      <x:c r="T219" s="42" t="s">
        <x:v>30</x:v>
      </x:c>
      <x:c r="U219" s="43" t="s">
        <x:v>41</x:v>
      </x:c>
      <x:c r="V219" s="43" t="s">
        <x:v>682</x:v>
      </x:c>
      <x:c r="W219" s="8" t="str">
        <x:f>+VLOOKUP($A219,'TMS- NODE'!$A$6:$N$260,6,0)</x:f>
        <x:v>107.368532350599,16.0832374788337</x:v>
      </x:c>
    </x:row>
    <x:row r="220">
      <x:c r="A220" s="34" t="s">
        <x:v>1245</x:v>
      </x:c>
      <x:c r="B220" s="35" t="s">
        <x:v>1246</x:v>
      </x:c>
      <x:c r="C220" s="36" t="s">
        <x:v>28</x:v>
      </x:c>
      <x:c r="D220" s="36" t="s">
        <x:v>29</x:v>
      </x:c>
      <x:c r="E220" s="37" t="s">
        <x:v>30</x:v>
      </x:c>
      <x:c r="F220" s="36" t="s">
        <x:v>29</x:v>
      </x:c>
      <x:c r="G220" s="37" t="s">
        <x:v>31</x:v>
      </x:c>
      <x:c r="H220" s="38" t="s">
        <x:v>393</x:v>
      </x:c>
      <x:c r="I220" s="39" t="s">
        <x:v>394</x:v>
      </x:c>
      <x:c r="J220" s="36" t="s">
        <x:v>1246</x:v>
      </x:c>
      <x:c r="K220" s="37" t="s">
        <x:v>1247</x:v>
      </x:c>
      <x:c r="L220" s="36"/>
      <x:c r="M220" s="36"/>
      <x:c r="N220" s="40"/>
      <x:c r="O220" s="36" t="s">
        <x:v>679</x:v>
      </x:c>
      <x:c r="P220" s="37" t="s">
        <x:v>1248</x:v>
      </x:c>
      <x:c r="Q220" s="36" t="s">
        <x:v>40</x:v>
      </x:c>
      <x:c r="R220" s="41" t="s">
        <x:v>1249</x:v>
      </x:c>
      <x:c r="S220" s="37"/>
      <x:c r="T220" s="42" t="s">
        <x:v>30</x:v>
      </x:c>
      <x:c r="U220" s="43" t="s">
        <x:v>41</x:v>
      </x:c>
      <x:c r="V220" s="43" t="s">
        <x:v>682</x:v>
      </x:c>
      <x:c r="W220" s="8" t="str">
        <x:f>+VLOOKUP($A220,'TMS- NODE'!$A$6:$N$260,6,0)</x:f>
        <x:v>107.710231191343,16.1577201134912</x:v>
      </x:c>
    </x:row>
    <x:row r="221">
      <x:c r="A221" s="34" t="s">
        <x:v>1250</x:v>
      </x:c>
      <x:c r="B221" s="35" t="s">
        <x:v>1251</x:v>
      </x:c>
      <x:c r="C221" s="36" t="s">
        <x:v>28</x:v>
      </x:c>
      <x:c r="D221" s="36" t="s">
        <x:v>29</x:v>
      </x:c>
      <x:c r="E221" s="37" t="s">
        <x:v>30</x:v>
      </x:c>
      <x:c r="F221" s="36" t="s">
        <x:v>29</x:v>
      </x:c>
      <x:c r="G221" s="37" t="s">
        <x:v>31</x:v>
      </x:c>
      <x:c r="H221" s="38" t="s">
        <x:v>300</x:v>
      </x:c>
      <x:c r="I221" s="39" t="s">
        <x:v>301</x:v>
      </x:c>
      <x:c r="J221" s="36" t="s">
        <x:v>1251</x:v>
      </x:c>
      <x:c r="K221" s="37" t="s">
        <x:v>1252</x:v>
      </x:c>
      <x:c r="L221" s="36" t="s">
        <x:v>303</x:v>
      </x:c>
      <x:c r="M221" s="36" t="s">
        <x:v>304</x:v>
      </x:c>
      <x:c r="N221" s="40" t="s">
        <x:v>305</x:v>
      </x:c>
      <x:c r="O221" s="36" t="s">
        <x:v>679</x:v>
      </x:c>
      <x:c r="P221" s="37" t="s">
        <x:v>1253</x:v>
      </x:c>
      <x:c r="Q221" s="36" t="s">
        <x:v>40</x:v>
      </x:c>
      <x:c r="R221" s="41" t="s">
        <x:v>1254</x:v>
      </x:c>
      <x:c r="S221" s="37"/>
      <x:c r="T221" s="42" t="s">
        <x:v>30</x:v>
      </x:c>
      <x:c r="U221" s="43" t="s">
        <x:v>41</x:v>
      </x:c>
      <x:c r="V221" s="43" t="s">
        <x:v>682</x:v>
      </x:c>
      <x:c r="W221" s="8" t="str">
        <x:f>+VLOOKUP($A221,'TMS- NODE'!$A$6:$N$260,6,0)</x:f>
        <x:v>107.6337754,16.53865088</x:v>
      </x:c>
    </x:row>
    <x:row r="222">
      <x:c r="A222" s="34" t="s">
        <x:v>1255</x:v>
      </x:c>
      <x:c r="B222" s="35" t="s">
        <x:v>1256</x:v>
      </x:c>
      <x:c r="C222" s="36" t="s">
        <x:v>28</x:v>
      </x:c>
      <x:c r="D222" s="36" t="s">
        <x:v>29</x:v>
      </x:c>
      <x:c r="E222" s="37" t="s">
        <x:v>30</x:v>
      </x:c>
      <x:c r="F222" s="36" t="s">
        <x:v>29</x:v>
      </x:c>
      <x:c r="G222" s="37" t="s">
        <x:v>31</x:v>
      </x:c>
      <x:c r="H222" s="38" t="s">
        <x:v>393</x:v>
      </x:c>
      <x:c r="I222" s="39" t="s">
        <x:v>394</x:v>
      </x:c>
      <x:c r="J222" s="36" t="s">
        <x:v>1256</x:v>
      </x:c>
      <x:c r="K222" s="37" t="s">
        <x:v>1257</x:v>
      </x:c>
      <x:c r="L222" s="36"/>
      <x:c r="M222" s="36"/>
      <x:c r="N222" s="40"/>
      <x:c r="O222" s="36" t="s">
        <x:v>679</x:v>
      </x:c>
      <x:c r="P222" s="37" t="s">
        <x:v>1258</x:v>
      </x:c>
      <x:c r="Q222" s="36" t="s">
        <x:v>40</x:v>
      </x:c>
      <x:c r="R222" s="41" t="s">
        <x:v>1256</x:v>
      </x:c>
      <x:c r="S222" s="37"/>
      <x:c r="T222" s="42" t="s">
        <x:v>30</x:v>
      </x:c>
      <x:c r="U222" s="43" t="s">
        <x:v>41</x:v>
      </x:c>
      <x:c r="V222" s="43" t="s">
        <x:v>682</x:v>
      </x:c>
      <x:c r="W222" s="8" t="str">
        <x:f>+VLOOKUP($A222,'TMS- NODE'!$A$6:$N$260,6,0)</x:f>
        <x:v>107.775702228437,16.4148742192703</x:v>
      </x:c>
    </x:row>
    <x:row r="223">
      <x:c r="A223" s="34" t="s">
        <x:v>1259</x:v>
      </x:c>
      <x:c r="B223" s="35" t="s">
        <x:v>1260</x:v>
      </x:c>
      <x:c r="C223" s="36" t="s">
        <x:v>28</x:v>
      </x:c>
      <x:c r="D223" s="36" t="s">
        <x:v>29</x:v>
      </x:c>
      <x:c r="E223" s="37" t="s">
        <x:v>30</x:v>
      </x:c>
      <x:c r="F223" s="36" t="s">
        <x:v>29</x:v>
      </x:c>
      <x:c r="G223" s="37" t="s">
        <x:v>31</x:v>
      </x:c>
      <x:c r="H223" s="38" t="s">
        <x:v>393</x:v>
      </x:c>
      <x:c r="I223" s="39" t="s">
        <x:v>394</x:v>
      </x:c>
      <x:c r="J223" s="36" t="s">
        <x:v>1260</x:v>
      </x:c>
      <x:c r="K223" s="37" t="s">
        <x:v>337</x:v>
      </x:c>
      <x:c r="L223" s="36"/>
      <x:c r="M223" s="36"/>
      <x:c r="N223" s="40"/>
      <x:c r="O223" s="36" t="s">
        <x:v>679</x:v>
      </x:c>
      <x:c r="P223" s="37" t="s">
        <x:v>1261</x:v>
      </x:c>
      <x:c r="Q223" s="36" t="s">
        <x:v>40</x:v>
      </x:c>
      <x:c r="R223" s="41" t="s">
        <x:v>1260</x:v>
      </x:c>
      <x:c r="S223" s="37"/>
      <x:c r="T223" s="42" t="s">
        <x:v>30</x:v>
      </x:c>
      <x:c r="U223" s="43" t="s">
        <x:v>41</x:v>
      </x:c>
      <x:c r="V223" s="43" t="s">
        <x:v>682</x:v>
      </x:c>
      <x:c r="W223" s="8" t="str">
        <x:f>+VLOOKUP($A223,'TMS- NODE'!$A$6:$N$260,6,0)</x:f>
        <x:v>107.826465868463,16.4236954215854</x:v>
      </x:c>
    </x:row>
    <x:row r="224">
      <x:c r="A224" s="34" t="s">
        <x:v>1262</x:v>
      </x:c>
      <x:c r="B224" s="35" t="s">
        <x:v>1263</x:v>
      </x:c>
      <x:c r="C224" s="36" t="s">
        <x:v>28</x:v>
      </x:c>
      <x:c r="D224" s="36" t="s">
        <x:v>29</x:v>
      </x:c>
      <x:c r="E224" s="37" t="s">
        <x:v>30</x:v>
      </x:c>
      <x:c r="F224" s="36" t="s">
        <x:v>29</x:v>
      </x:c>
      <x:c r="G224" s="37" t="s">
        <x:v>31</x:v>
      </x:c>
      <x:c r="H224" s="38" t="s">
        <x:v>393</x:v>
      </x:c>
      <x:c r="I224" s="39" t="s">
        <x:v>394</x:v>
      </x:c>
      <x:c r="J224" s="36" t="s">
        <x:v>1263</x:v>
      </x:c>
      <x:c r="K224" s="37" t="s">
        <x:v>1264</x:v>
      </x:c>
      <x:c r="L224" s="36" t="s">
        <x:v>182</x:v>
      </x:c>
      <x:c r="M224" s="36" t="s">
        <x:v>183</x:v>
      </x:c>
      <x:c r="N224" s="40" t="s">
        <x:v>184</x:v>
      </x:c>
      <x:c r="O224" s="36" t="s">
        <x:v>679</x:v>
      </x:c>
      <x:c r="P224" s="37" t="s">
        <x:v>1265</x:v>
      </x:c>
      <x:c r="Q224" s="36" t="s">
        <x:v>40</x:v>
      </x:c>
      <x:c r="R224" s="41" t="s">
        <x:v>1266</x:v>
      </x:c>
      <x:c r="S224" s="37"/>
      <x:c r="T224" s="42" t="s">
        <x:v>30</x:v>
      </x:c>
      <x:c r="U224" s="43" t="s">
        <x:v>41</x:v>
      </x:c>
      <x:c r="V224" s="43" t="s">
        <x:v>682</x:v>
      </x:c>
      <x:c r="W224" s="8" t="str">
        <x:f>+VLOOKUP($A224,'TMS- NODE'!$A$6:$N$260,6,0)</x:f>
        <x:v>107.879883419151,16.2711004257341</x:v>
      </x:c>
    </x:row>
    <x:row r="225">
      <x:c r="A225" s="34" t="s">
        <x:v>1267</x:v>
      </x:c>
      <x:c r="B225" s="44" t="s">
        <x:v>1268</x:v>
      </x:c>
      <x:c r="C225" s="45" t="s">
        <x:v>28</x:v>
      </x:c>
      <x:c r="D225" s="45" t="s">
        <x:v>29</x:v>
      </x:c>
      <x:c r="E225" s="46" t="s">
        <x:v>30</x:v>
      </x:c>
      <x:c r="F225" s="45" t="s">
        <x:v>29</x:v>
      </x:c>
      <x:c r="G225" s="46" t="s">
        <x:v>31</x:v>
      </x:c>
      <x:c r="H225" s="47" t="s">
        <x:v>54</x:v>
      </x:c>
      <x:c r="I225" s="48" t="s">
        <x:v>55</x:v>
      </x:c>
      <x:c r="J225" s="45" t="s">
        <x:v>1268</x:v>
      </x:c>
      <x:c r="K225" s="46" t="s">
        <x:v>1269</x:v>
      </x:c>
      <x:c r="L225" s="45" t="s">
        <x:v>110</x:v>
      </x:c>
      <x:c r="M225" s="45" t="s">
        <x:v>111</x:v>
      </x:c>
      <x:c r="N225" s="49" t="s">
        <x:v>112</x:v>
      </x:c>
      <x:c r="O225" s="45" t="s">
        <x:v>1270</x:v>
      </x:c>
      <x:c r="P225" s="46" t="s">
        <x:v>197</x:v>
      </x:c>
      <x:c r="Q225" s="45" t="s">
        <x:v>115</x:v>
      </x:c>
      <x:c r="R225" s="50" t="s">
        <x:v>1271</x:v>
      </x:c>
      <x:c r="S225" s="46"/>
      <x:c r="T225" s="42" t="s">
        <x:v>30</x:v>
      </x:c>
      <x:c r="U225" s="43" t="s">
        <x:v>41</x:v>
      </x:c>
      <x:c r="V225" s="43" t="s">
        <x:v>1272</x:v>
      </x:c>
      <x:c r="W225" s="8" t="str">
        <x:f>+VLOOKUP($A225,'TMS- NODE'!$A$6:$N$260,6,0)</x:f>
        <x:v>107.590361744488,16.4648889303289</x:v>
      </x:c>
    </x:row>
    <x:row r="226">
      <x:c r="A226" s="34" t="s">
        <x:v>1273</x:v>
      </x:c>
      <x:c r="B226" s="44" t="s">
        <x:v>1274</x:v>
      </x:c>
      <x:c r="C226" s="45" t="s">
        <x:v>28</x:v>
      </x:c>
      <x:c r="D226" s="45" t="s">
        <x:v>29</x:v>
      </x:c>
      <x:c r="E226" s="46" t="s">
        <x:v>30</x:v>
      </x:c>
      <x:c r="F226" s="45" t="s">
        <x:v>29</x:v>
      </x:c>
      <x:c r="G226" s="46" t="s">
        <x:v>31</x:v>
      </x:c>
      <x:c r="H226" s="47" t="s">
        <x:v>393</x:v>
      </x:c>
      <x:c r="I226" s="48" t="s">
        <x:v>394</x:v>
      </x:c>
      <x:c r="J226" s="45" t="s">
        <x:v>1274</x:v>
      </x:c>
      <x:c r="K226" s="46" t="s">
        <x:v>394</x:v>
      </x:c>
      <x:c r="L226" s="45" t="s">
        <x:v>110</x:v>
      </x:c>
      <x:c r="M226" s="45" t="s">
        <x:v>111</x:v>
      </x:c>
      <x:c r="N226" s="49" t="s">
        <x:v>112</x:v>
      </x:c>
      <x:c r="O226" s="45" t="s">
        <x:v>1270</x:v>
      </x:c>
      <x:c r="P226" s="46" t="s">
        <x:v>197</x:v>
      </x:c>
      <x:c r="Q226" s="45" t="s">
        <x:v>115</x:v>
      </x:c>
      <x:c r="R226" s="50" t="s">
        <x:v>1275</x:v>
      </x:c>
      <x:c r="S226" s="46"/>
      <x:c r="T226" s="42" t="s">
        <x:v>30</x:v>
      </x:c>
      <x:c r="U226" s="43" t="s">
        <x:v>41</x:v>
      </x:c>
      <x:c r="V226" s="43" t="s">
        <x:v>1272</x:v>
      </x:c>
      <x:c r="W226" s="8" t="str">
        <x:f>+VLOOKUP($A226,'TMS- NODE'!$A$6:$N$260,6,0)</x:f>
        <x:v>107.590361744488,16.4648889303289</x:v>
      </x:c>
    </x:row>
    <x:row r="227">
      <x:c r="A227" s="34" t="s">
        <x:v>1276</x:v>
      </x:c>
      <x:c r="B227" s="44" t="s">
        <x:v>1277</x:v>
      </x:c>
      <x:c r="C227" s="45" t="s">
        <x:v>28</x:v>
      </x:c>
      <x:c r="D227" s="45" t="s">
        <x:v>29</x:v>
      </x:c>
      <x:c r="E227" s="46" t="s">
        <x:v>30</x:v>
      </x:c>
      <x:c r="F227" s="45" t="s">
        <x:v>29</x:v>
      </x:c>
      <x:c r="G227" s="46" t="s">
        <x:v>31</x:v>
      </x:c>
      <x:c r="H227" s="47" t="s">
        <x:v>32</x:v>
      </x:c>
      <x:c r="I227" s="48" t="s">
        <x:v>33</x:v>
      </x:c>
      <x:c r="J227" s="45" t="s">
        <x:v>1277</x:v>
      </x:c>
      <x:c r="K227" s="46" t="s">
        <x:v>1278</x:v>
      </x:c>
      <x:c r="L227" s="45" t="s">
        <x:v>131</x:v>
      </x:c>
      <x:c r="M227" s="45" t="s">
        <x:v>132</x:v>
      </x:c>
      <x:c r="N227" s="49" t="s">
        <x:v>133</x:v>
      </x:c>
      <x:c r="O227" s="45" t="s">
        <x:v>1270</x:v>
      </x:c>
      <x:c r="P227" s="46" t="s">
        <x:v>134</x:v>
      </x:c>
      <x:c r="Q227" s="45" t="s">
        <x:v>115</x:v>
      </x:c>
      <x:c r="R227" s="50" t="s">
        <x:v>1279</x:v>
      </x:c>
      <x:c r="S227" s="46"/>
      <x:c r="T227" s="42" t="s">
        <x:v>30</x:v>
      </x:c>
      <x:c r="U227" s="43" t="s">
        <x:v>41</x:v>
      </x:c>
      <x:c r="V227" s="43" t="s">
        <x:v>1272</x:v>
      </x:c>
      <x:c r="W227" s="8" t="str">
        <x:f>+VLOOKUP($A227,'TMS- NODE'!$A$6:$N$260,6,0)</x:f>
        <x:v>107.364443316674,16.5821419703036</x:v>
      </x:c>
    </x:row>
    <x:row r="228">
      <x:c r="A228" s="34" t="s">
        <x:v>1280</x:v>
      </x:c>
      <x:c r="B228" s="35" t="s">
        <x:v>1281</x:v>
      </x:c>
      <x:c r="C228" s="36" t="s">
        <x:v>28</x:v>
      </x:c>
      <x:c r="D228" s="36" t="s">
        <x:v>29</x:v>
      </x:c>
      <x:c r="E228" s="37" t="s">
        <x:v>30</x:v>
      </x:c>
      <x:c r="F228" s="36" t="s">
        <x:v>29</x:v>
      </x:c>
      <x:c r="G228" s="37" t="s">
        <x:v>31</x:v>
      </x:c>
      <x:c r="H228" s="38" t="s">
        <x:v>393</x:v>
      </x:c>
      <x:c r="I228" s="39" t="s">
        <x:v>404</x:v>
      </x:c>
      <x:c r="J228" s="36" t="s">
        <x:v>1281</x:v>
      </x:c>
      <x:c r="K228" s="37" t="s">
        <x:v>1282</x:v>
      </x:c>
      <x:c r="L228" s="36" t="s">
        <x:v>110</x:v>
      </x:c>
      <x:c r="M228" s="36" t="s">
        <x:v>111</x:v>
      </x:c>
      <x:c r="N228" s="40" t="s">
        <x:v>112</x:v>
      </x:c>
      <x:c r="O228" s="52" t="s">
        <x:v>1270</x:v>
      </x:c>
      <x:c r="P228" s="37" t="s">
        <x:v>197</x:v>
      </x:c>
      <x:c r="Q228" s="36" t="s">
        <x:v>40</x:v>
      </x:c>
      <x:c r="R228" s="41" t="s">
        <x:v>761</x:v>
      </x:c>
      <x:c r="S228" s="37"/>
      <x:c r="T228" s="42" t="s">
        <x:v>30</x:v>
      </x:c>
      <x:c r="U228" s="43" t="s">
        <x:v>41</x:v>
      </x:c>
      <x:c r="V228" s="43" t="s">
        <x:v>1272</x:v>
      </x:c>
      <x:c r="W228" s="8" t="str">
        <x:f>+VLOOKUP($A228,'TMS- NODE'!$A$6:$N$260,6,0)</x:f>
        <x:v>107.590361744488,16.4648889303289</x:v>
      </x:c>
    </x:row>
    <x:row r="229">
      <x:c r="A229" s="34" t="s">
        <x:v>1283</x:v>
      </x:c>
      <x:c r="B229" s="35" t="s">
        <x:v>1284</x:v>
      </x:c>
      <x:c r="C229" s="36" t="s">
        <x:v>28</x:v>
      </x:c>
      <x:c r="D229" s="36" t="s">
        <x:v>29</x:v>
      </x:c>
      <x:c r="E229" s="37" t="s">
        <x:v>30</x:v>
      </x:c>
      <x:c r="F229" s="36" t="s">
        <x:v>29</x:v>
      </x:c>
      <x:c r="G229" s="37" t="s">
        <x:v>31</x:v>
      </x:c>
      <x:c r="H229" s="38" t="s">
        <x:v>1015</x:v>
      </x:c>
      <x:c r="I229" s="39" t="s">
        <x:v>1016</x:v>
      </x:c>
      <x:c r="J229" s="36" t="s">
        <x:v>1284</x:v>
      </x:c>
      <x:c r="K229" s="37" t="s">
        <x:v>1285</x:v>
      </x:c>
      <x:c r="L229" s="36" t="s">
        <x:v>74</x:v>
      </x:c>
      <x:c r="M229" s="36" t="s">
        <x:v>75</x:v>
      </x:c>
      <x:c r="N229" s="40" t="s">
        <x:v>76</x:v>
      </x:c>
      <x:c r="O229" s="52" t="s">
        <x:v>1270</x:v>
      </x:c>
      <x:c r="P229" s="37" t="s">
        <x:v>1286</x:v>
      </x:c>
      <x:c r="Q229" s="36" t="s">
        <x:v>40</x:v>
      </x:c>
      <x:c r="R229" s="41"/>
      <x:c r="S229" s="37"/>
      <x:c r="T229" s="42" t="s">
        <x:v>30</x:v>
      </x:c>
      <x:c r="U229" s="43" t="s">
        <x:v>41</x:v>
      </x:c>
      <x:c r="V229" s="43" t="s">
        <x:v>1272</x:v>
      </x:c>
      <x:c r="W229" s="8" t="str">
        <x:f>+VLOOKUP($A229,'TMS- NODE'!$A$6:$N$260,6,0)</x:f>
        <x:v>107.605902,16.48335742</x:v>
      </x:c>
    </x:row>
    <x:row r="230">
      <x:c r="A230" s="34" t="s">
        <x:v>1287</x:v>
      </x:c>
      <x:c r="B230" s="35" t="s">
        <x:v>1288</x:v>
      </x:c>
      <x:c r="C230" s="36" t="s">
        <x:v>28</x:v>
      </x:c>
      <x:c r="D230" s="36" t="s">
        <x:v>29</x:v>
      </x:c>
      <x:c r="E230" s="37" t="s">
        <x:v>30</x:v>
      </x:c>
      <x:c r="F230" s="36" t="s">
        <x:v>29</x:v>
      </x:c>
      <x:c r="G230" s="37" t="s">
        <x:v>31</x:v>
      </x:c>
      <x:c r="H230" s="38" t="s">
        <x:v>218</x:v>
      </x:c>
      <x:c r="I230" s="39" t="s">
        <x:v>219</x:v>
      </x:c>
      <x:c r="J230" s="36" t="s">
        <x:v>1288</x:v>
      </x:c>
      <x:c r="K230" s="37" t="s">
        <x:v>1289</x:v>
      </x:c>
      <x:c r="L230" s="36" t="s">
        <x:v>221</x:v>
      </x:c>
      <x:c r="M230" s="36" t="s">
        <x:v>222</x:v>
      </x:c>
      <x:c r="N230" s="40" t="s">
        <x:v>223</x:v>
      </x:c>
      <x:c r="O230" s="52" t="s">
        <x:v>1270</x:v>
      </x:c>
      <x:c r="P230" s="37" t="s">
        <x:v>893</x:v>
      </x:c>
      <x:c r="Q230" s="36" t="s">
        <x:v>40</x:v>
      </x:c>
      <x:c r="R230" s="41"/>
      <x:c r="S230" s="37"/>
      <x:c r="T230" s="42" t="s">
        <x:v>30</x:v>
      </x:c>
      <x:c r="U230" s="43" t="s">
        <x:v>41</x:v>
      </x:c>
      <x:c r="V230" s="43" t="s">
        <x:v>1272</x:v>
      </x:c>
      <x:c r="W230" s="8" t="str">
        <x:f>+VLOOKUP($A230,'TMS- NODE'!$A$6:$N$260,6,0)</x:f>
        <x:v>107.5602726,16.45802966</x:v>
      </x:c>
    </x:row>
    <x:row r="231">
      <x:c r="A231" s="34" t="s">
        <x:v>1290</x:v>
      </x:c>
      <x:c r="B231" s="35" t="s">
        <x:v>1291</x:v>
      </x:c>
      <x:c r="C231" s="36" t="s">
        <x:v>28</x:v>
      </x:c>
      <x:c r="D231" s="36" t="s">
        <x:v>29</x:v>
      </x:c>
      <x:c r="E231" s="37" t="s">
        <x:v>30</x:v>
      </x:c>
      <x:c r="F231" s="36" t="s">
        <x:v>29</x:v>
      </x:c>
      <x:c r="G231" s="37" t="s">
        <x:v>31</x:v>
      </x:c>
      <x:c r="H231" s="38" t="s">
        <x:v>690</x:v>
      </x:c>
      <x:c r="I231" s="39" t="s">
        <x:v>691</x:v>
      </x:c>
      <x:c r="J231" s="36" t="s">
        <x:v>1291</x:v>
      </x:c>
      <x:c r="K231" s="37" t="s">
        <x:v>1292</x:v>
      </x:c>
      <x:c r="L231" s="36" t="s">
        <x:v>693</x:v>
      </x:c>
      <x:c r="M231" s="36" t="s">
        <x:v>694</x:v>
      </x:c>
      <x:c r="N231" s="40" t="s">
        <x:v>695</x:v>
      </x:c>
      <x:c r="O231" s="52" t="s">
        <x:v>1270</x:v>
      </x:c>
      <x:c r="P231" s="37" t="s">
        <x:v>1293</x:v>
      </x:c>
      <x:c r="Q231" s="36" t="s">
        <x:v>40</x:v>
      </x:c>
      <x:c r="R231" s="41"/>
      <x:c r="S231" s="37"/>
      <x:c r="T231" s="42" t="s">
        <x:v>30</x:v>
      </x:c>
      <x:c r="U231" s="43" t="s">
        <x:v>41</x:v>
      </x:c>
      <x:c r="V231" s="43" t="s">
        <x:v>1272</x:v>
      </x:c>
      <x:c r="W231" s="8" t="str">
        <x:f>+VLOOKUP($A231,'TMS- NODE'!$A$6:$N$260,6,0)</x:f>
        <x:v>107.5802111,16.43183885</x:v>
      </x:c>
    </x:row>
    <x:row r="232">
      <x:c r="A232" s="34" t="s">
        <x:v>1294</x:v>
      </x:c>
      <x:c r="B232" s="35" t="s">
        <x:v>1295</x:v>
      </x:c>
      <x:c r="C232" s="36" t="s">
        <x:v>28</x:v>
      </x:c>
      <x:c r="D232" s="36" t="s">
        <x:v>29</x:v>
      </x:c>
      <x:c r="E232" s="37" t="s">
        <x:v>30</x:v>
      </x:c>
      <x:c r="F232" s="36" t="s">
        <x:v>29</x:v>
      </x:c>
      <x:c r="G232" s="37" t="s">
        <x:v>31</x:v>
      </x:c>
      <x:c r="H232" s="38" t="s">
        <x:v>705</x:v>
      </x:c>
      <x:c r="I232" s="39" t="s">
        <x:v>706</x:v>
      </x:c>
      <x:c r="J232" s="36" t="s">
        <x:v>1295</x:v>
      </x:c>
      <x:c r="K232" s="37" t="s">
        <x:v>1296</x:v>
      </x:c>
      <x:c r="L232" s="36" t="s">
        <x:v>470</x:v>
      </x:c>
      <x:c r="M232" s="36" t="s">
        <x:v>471</x:v>
      </x:c>
      <x:c r="N232" s="40" t="s">
        <x:v>472</x:v>
      </x:c>
      <x:c r="O232" s="52" t="s">
        <x:v>1270</x:v>
      </x:c>
      <x:c r="P232" s="37" t="s">
        <x:v>1297</x:v>
      </x:c>
      <x:c r="Q232" s="36" t="s">
        <x:v>40</x:v>
      </x:c>
      <x:c r="R232" s="41"/>
      <x:c r="S232" s="37"/>
      <x:c r="T232" s="42" t="s">
        <x:v>30</x:v>
      </x:c>
      <x:c r="U232" s="43" t="s">
        <x:v>41</x:v>
      </x:c>
      <x:c r="V232" s="43" t="s">
        <x:v>1272</x:v>
      </x:c>
      <x:c r="W232" s="8" t="str">
        <x:f>+VLOOKUP($A232,'TMS- NODE'!$A$6:$N$260,6,0)</x:f>
        <x:v>107.61128,16.45914444</x:v>
      </x:c>
    </x:row>
    <x:row r="233">
      <x:c r="A233" s="34" t="s">
        <x:v>1298</x:v>
      </x:c>
      <x:c r="B233" s="35" t="s">
        <x:v>1299</x:v>
      </x:c>
      <x:c r="C233" s="36" t="s">
        <x:v>28</x:v>
      </x:c>
      <x:c r="D233" s="36" t="s">
        <x:v>29</x:v>
      </x:c>
      <x:c r="E233" s="37" t="s">
        <x:v>30</x:v>
      </x:c>
      <x:c r="F233" s="36" t="s">
        <x:v>29</x:v>
      </x:c>
      <x:c r="G233" s="37" t="s">
        <x:v>31</x:v>
      </x:c>
      <x:c r="H233" s="38" t="s">
        <x:v>755</x:v>
      </x:c>
      <x:c r="I233" s="39" t="s">
        <x:v>756</x:v>
      </x:c>
      <x:c r="J233" s="36" t="s">
        <x:v>1299</x:v>
      </x:c>
      <x:c r="K233" s="37" t="s">
        <x:v>1300</x:v>
      </x:c>
      <x:c r="L233" s="36" t="s">
        <x:v>757</x:v>
      </x:c>
      <x:c r="M233" s="36" t="s">
        <x:v>758</x:v>
      </x:c>
      <x:c r="N233" s="40" t="s">
        <x:v>759</x:v>
      </x:c>
      <x:c r="O233" s="52" t="s">
        <x:v>1270</x:v>
      </x:c>
      <x:c r="P233" s="37" t="s">
        <x:v>1301</x:v>
      </x:c>
      <x:c r="Q233" s="36" t="s">
        <x:v>40</x:v>
      </x:c>
      <x:c r="R233" s="41"/>
      <x:c r="S233" s="37"/>
      <x:c r="T233" s="42" t="s">
        <x:v>30</x:v>
      </x:c>
      <x:c r="U233" s="43" t="s">
        <x:v>41</x:v>
      </x:c>
      <x:c r="V233" s="43" t="s">
        <x:v>1272</x:v>
      </x:c>
      <x:c r="W233" s="8" t="str">
        <x:f>+VLOOKUP($A233,'TMS- NODE'!$A$6:$N$260,6,0)</x:f>
        <x:v>107.56927,16.54118379</x:v>
      </x:c>
    </x:row>
    <x:row r="234">
      <x:c r="A234" s="34" t="s">
        <x:v>1302</x:v>
      </x:c>
      <x:c r="B234" s="35" t="s">
        <x:v>1303</x:v>
      </x:c>
      <x:c r="C234" s="36" t="s">
        <x:v>28</x:v>
      </x:c>
      <x:c r="D234" s="36" t="s">
        <x:v>29</x:v>
      </x:c>
      <x:c r="E234" s="37" t="s">
        <x:v>30</x:v>
      </x:c>
      <x:c r="F234" s="36" t="s">
        <x:v>29</x:v>
      </x:c>
      <x:c r="G234" s="37" t="s">
        <x:v>31</x:v>
      </x:c>
      <x:c r="H234" s="38" t="s">
        <x:v>991</x:v>
      </x:c>
      <x:c r="I234" s="39" t="s">
        <x:v>992</x:v>
      </x:c>
      <x:c r="J234" s="36" t="s">
        <x:v>1303</x:v>
      </x:c>
      <x:c r="K234" s="37" t="s">
        <x:v>1304</x:v>
      </x:c>
      <x:c r="L234" s="36" t="s">
        <x:v>994</x:v>
      </x:c>
      <x:c r="M234" s="36" t="s">
        <x:v>995</x:v>
      </x:c>
      <x:c r="N234" s="40" t="s">
        <x:v>996</x:v>
      </x:c>
      <x:c r="O234" s="52" t="s">
        <x:v>1270</x:v>
      </x:c>
      <x:c r="P234" s="37" t="s">
        <x:v>1305</x:v>
      </x:c>
      <x:c r="Q234" s="36" t="s">
        <x:v>40</x:v>
      </x:c>
      <x:c r="R234" s="41"/>
      <x:c r="S234" s="37"/>
      <x:c r="T234" s="42" t="s">
        <x:v>30</x:v>
      </x:c>
      <x:c r="U234" s="43" t="s">
        <x:v>41</x:v>
      </x:c>
      <x:c r="V234" s="43" t="s">
        <x:v>1272</x:v>
      </x:c>
      <x:c r="W234" s="8" t="str">
        <x:f>+VLOOKUP($A234,'TMS- NODE'!$A$6:$N$260,6,0)</x:f>
        <x:v>107.67358099555,16.4117269209322</x:v>
      </x:c>
    </x:row>
    <x:row r="235">
      <x:c r="A235" s="34" t="s">
        <x:v>1306</x:v>
      </x:c>
      <x:c r="B235" s="35" t="s">
        <x:v>1307</x:v>
      </x:c>
      <x:c r="C235" s="36" t="s">
        <x:v>28</x:v>
      </x:c>
      <x:c r="D235" s="36" t="s">
        <x:v>29</x:v>
      </x:c>
      <x:c r="E235" s="37" t="s">
        <x:v>30</x:v>
      </x:c>
      <x:c r="F235" s="36" t="s">
        <x:v>29</x:v>
      </x:c>
      <x:c r="G235" s="37" t="s">
        <x:v>31</x:v>
      </x:c>
      <x:c r="H235" s="38" t="s">
        <x:v>833</x:v>
      </x:c>
      <x:c r="I235" s="39" t="s">
        <x:v>834</x:v>
      </x:c>
      <x:c r="J235" s="36" t="s">
        <x:v>1307</x:v>
      </x:c>
      <x:c r="K235" s="37" t="s">
        <x:v>1308</x:v>
      </x:c>
      <x:c r="L235" s="36" t="s">
        <x:v>836</x:v>
      </x:c>
      <x:c r="M235" s="36" t="s">
        <x:v>837</x:v>
      </x:c>
      <x:c r="N235" s="40" t="s">
        <x:v>838</x:v>
      </x:c>
      <x:c r="O235" s="52" t="s">
        <x:v>1270</x:v>
      </x:c>
      <x:c r="P235" s="37" t="s">
        <x:v>1309</x:v>
      </x:c>
      <x:c r="Q235" s="36" t="s">
        <x:v>40</x:v>
      </x:c>
      <x:c r="R235" s="41"/>
      <x:c r="S235" s="37"/>
      <x:c r="T235" s="42" t="s">
        <x:v>30</x:v>
      </x:c>
      <x:c r="U235" s="43" t="s">
        <x:v>41</x:v>
      </x:c>
      <x:c r="V235" s="43" t="s">
        <x:v>1272</x:v>
      </x:c>
      <x:c r="W235" s="8" t="str">
        <x:f>+VLOOKUP($A235,'TMS- NODE'!$A$6:$N$260,6,0)</x:f>
        <x:v>107.5349839,16.5140435</x:v>
      </x:c>
    </x:row>
    <x:row r="236">
      <x:c r="A236" s="34" t="s">
        <x:v>1310</x:v>
      </x:c>
      <x:c r="B236" s="35" t="s">
        <x:v>1311</x:v>
      </x:c>
      <x:c r="C236" s="36" t="s">
        <x:v>28</x:v>
      </x:c>
      <x:c r="D236" s="36" t="s">
        <x:v>29</x:v>
      </x:c>
      <x:c r="E236" s="37" t="s">
        <x:v>30</x:v>
      </x:c>
      <x:c r="F236" s="36" t="s">
        <x:v>29</x:v>
      </x:c>
      <x:c r="G236" s="37" t="s">
        <x:v>31</x:v>
      </x:c>
      <x:c r="H236" s="38" t="s">
        <x:v>315</x:v>
      </x:c>
      <x:c r="I236" s="39" t="s">
        <x:v>316</x:v>
      </x:c>
      <x:c r="J236" s="36" t="s">
        <x:v>1311</x:v>
      </x:c>
      <x:c r="K236" s="37" t="s">
        <x:v>1312</x:v>
      </x:c>
      <x:c r="L236" s="36" t="s">
        <x:v>57</x:v>
      </x:c>
      <x:c r="M236" s="36" t="s">
        <x:v>58</x:v>
      </x:c>
      <x:c r="N236" s="40" t="s">
        <x:v>59</x:v>
      </x:c>
      <x:c r="O236" s="52" t="s">
        <x:v>1270</x:v>
      </x:c>
      <x:c r="P236" s="37" t="s">
        <x:v>318</x:v>
      </x:c>
      <x:c r="Q236" s="36" t="s">
        <x:v>40</x:v>
      </x:c>
      <x:c r="R236" s="41"/>
      <x:c r="S236" s="37"/>
      <x:c r="T236" s="42" t="s">
        <x:v>30</x:v>
      </x:c>
      <x:c r="U236" s="43" t="s">
        <x:v>41</x:v>
      </x:c>
      <x:c r="V236" s="43" t="s">
        <x:v>1272</x:v>
      </x:c>
      <x:c r="W236" s="8" t="str">
        <x:f>+VLOOKUP($A236,'TMS- NODE'!$A$6:$N$260,6,0)</x:f>
        <x:v>107.6019846,16.48437335</x:v>
      </x:c>
    </x:row>
    <x:row r="237">
      <x:c r="A237" s="34" t="s">
        <x:v>1313</x:v>
      </x:c>
      <x:c r="B237" s="35" t="s">
        <x:v>1314</x:v>
      </x:c>
      <x:c r="C237" s="36" t="s">
        <x:v>28</x:v>
      </x:c>
      <x:c r="D237" s="36" t="s">
        <x:v>29</x:v>
      </x:c>
      <x:c r="E237" s="37" t="s">
        <x:v>30</x:v>
      </x:c>
      <x:c r="F237" s="36" t="s">
        <x:v>29</x:v>
      </x:c>
      <x:c r="G237" s="37" t="s">
        <x:v>31</x:v>
      </x:c>
      <x:c r="H237" s="38" t="s">
        <x:v>769</x:v>
      </x:c>
      <x:c r="I237" s="39" t="s">
        <x:v>770</x:v>
      </x:c>
      <x:c r="J237" s="36" t="s">
        <x:v>1314</x:v>
      </x:c>
      <x:c r="K237" s="37" t="s">
        <x:v>1315</x:v>
      </x:c>
      <x:c r="L237" s="36" t="s">
        <x:v>772</x:v>
      </x:c>
      <x:c r="M237" s="36" t="s">
        <x:v>773</x:v>
      </x:c>
      <x:c r="N237" s="40" t="s">
        <x:v>774</x:v>
      </x:c>
      <x:c r="O237" s="52" t="s">
        <x:v>1270</x:v>
      </x:c>
      <x:c r="P237" s="37" t="s">
        <x:v>809</x:v>
      </x:c>
      <x:c r="Q237" s="36" t="s">
        <x:v>40</x:v>
      </x:c>
      <x:c r="R237" s="41"/>
      <x:c r="S237" s="37"/>
      <x:c r="T237" s="42" t="s">
        <x:v>30</x:v>
      </x:c>
      <x:c r="U237" s="43" t="s">
        <x:v>41</x:v>
      </x:c>
      <x:c r="V237" s="43" t="s">
        <x:v>1272</x:v>
      </x:c>
      <x:c r="W237" s="8" t="str">
        <x:f>+VLOOKUP($A237,'TMS- NODE'!$A$6:$N$260,6,0)</x:f>
        <x:v>107.3828951,16.66081772</x:v>
      </x:c>
    </x:row>
    <x:row r="238">
      <x:c r="A238" s="34" t="s">
        <x:v>1316</x:v>
      </x:c>
      <x:c r="B238" s="35" t="s">
        <x:v>1317</x:v>
      </x:c>
      <x:c r="C238" s="36" t="s">
        <x:v>28</x:v>
      </x:c>
      <x:c r="D238" s="36" t="s">
        <x:v>29</x:v>
      </x:c>
      <x:c r="E238" s="37" t="s">
        <x:v>30</x:v>
      </x:c>
      <x:c r="F238" s="36" t="s">
        <x:v>29</x:v>
      </x:c>
      <x:c r="G238" s="37" t="s">
        <x:v>31</x:v>
      </x:c>
      <x:c r="H238" s="38" t="s">
        <x:v>238</x:v>
      </x:c>
      <x:c r="I238" s="39" t="s">
        <x:v>239</x:v>
      </x:c>
      <x:c r="J238" s="36" t="s">
        <x:v>1317</x:v>
      </x:c>
      <x:c r="K238" s="37" t="s">
        <x:v>1318</x:v>
      </x:c>
      <x:c r="L238" s="36" t="s">
        <x:v>35</x:v>
      </x:c>
      <x:c r="M238" s="36" t="s">
        <x:v>36</x:v>
      </x:c>
      <x:c r="N238" s="40" t="s">
        <x:v>37</x:v>
      </x:c>
      <x:c r="O238" s="52" t="s">
        <x:v>1270</x:v>
      </x:c>
      <x:c r="P238" s="37" t="s">
        <x:v>39</x:v>
      </x:c>
      <x:c r="Q238" s="36" t="s">
        <x:v>40</x:v>
      </x:c>
      <x:c r="R238" s="41"/>
      <x:c r="S238" s="37"/>
      <x:c r="T238" s="42" t="s">
        <x:v>30</x:v>
      </x:c>
      <x:c r="U238" s="43" t="s">
        <x:v>41</x:v>
      </x:c>
      <x:c r="V238" s="43" t="s">
        <x:v>1272</x:v>
      </x:c>
      <x:c r="W238" s="8" t="str">
        <x:f>+VLOOKUP($A238,'TMS- NODE'!$A$6:$N$260,6,0)</x:f>
        <x:v>107.5494669,16.60910028</x:v>
      </x:c>
    </x:row>
    <x:row r="239">
      <x:c r="A239" s="34" t="s">
        <x:v>1319</x:v>
      </x:c>
      <x:c r="B239" s="35" t="s">
        <x:v>1320</x:v>
      </x:c>
      <x:c r="C239" s="36" t="s">
        <x:v>28</x:v>
      </x:c>
      <x:c r="D239" s="36" t="s">
        <x:v>29</x:v>
      </x:c>
      <x:c r="E239" s="37" t="s">
        <x:v>30</x:v>
      </x:c>
      <x:c r="F239" s="36" t="s">
        <x:v>29</x:v>
      </x:c>
      <x:c r="G239" s="37" t="s">
        <x:v>31</x:v>
      </x:c>
      <x:c r="H239" s="38" t="s">
        <x:v>260</x:v>
      </x:c>
      <x:c r="I239" s="39" t="s">
        <x:v>261</x:v>
      </x:c>
      <x:c r="J239" s="36" t="s">
        <x:v>1320</x:v>
      </x:c>
      <x:c r="K239" s="37" t="s">
        <x:v>1321</x:v>
      </x:c>
      <x:c r="L239" s="36" t="s">
        <x:v>263</x:v>
      </x:c>
      <x:c r="M239" s="36" t="s">
        <x:v>264</x:v>
      </x:c>
      <x:c r="N239" s="40" t="s">
        <x:v>265</x:v>
      </x:c>
      <x:c r="O239" s="52" t="s">
        <x:v>1270</x:v>
      </x:c>
      <x:c r="P239" s="37" t="s">
        <x:v>765</x:v>
      </x:c>
      <x:c r="Q239" s="36" t="s">
        <x:v>40</x:v>
      </x:c>
      <x:c r="R239" s="41"/>
      <x:c r="S239" s="37"/>
      <x:c r="T239" s="42" t="s">
        <x:v>30</x:v>
      </x:c>
      <x:c r="U239" s="43" t="s">
        <x:v>41</x:v>
      </x:c>
      <x:c r="V239" s="43" t="s">
        <x:v>1272</x:v>
      </x:c>
      <x:c r="W239" s="8" t="str">
        <x:f>+VLOOKUP($A239,'TMS- NODE'!$A$6:$N$260,6,0)</x:f>
        <x:v>107.4427311,16.53390423</x:v>
      </x:c>
    </x:row>
    <x:row r="240">
      <x:c r="A240" s="34" t="s">
        <x:v>1322</x:v>
      </x:c>
      <x:c r="B240" s="35" t="s">
        <x:v>1323</x:v>
      </x:c>
      <x:c r="C240" s="36" t="s">
        <x:v>28</x:v>
      </x:c>
      <x:c r="D240" s="36" t="s">
        <x:v>29</x:v>
      </x:c>
      <x:c r="E240" s="37" t="s">
        <x:v>30</x:v>
      </x:c>
      <x:c r="F240" s="36" t="s">
        <x:v>29</x:v>
      </x:c>
      <x:c r="G240" s="37" t="s">
        <x:v>31</x:v>
      </x:c>
      <x:c r="H240" s="38" t="s">
        <x:v>201</x:v>
      </x:c>
      <x:c r="I240" s="39" t="s">
        <x:v>202</x:v>
      </x:c>
      <x:c r="J240" s="36" t="s">
        <x:v>1323</x:v>
      </x:c>
      <x:c r="K240" s="37" t="s">
        <x:v>1324</x:v>
      </x:c>
      <x:c r="L240" s="36" t="s">
        <x:v>92</x:v>
      </x:c>
      <x:c r="M240" s="36" t="s">
        <x:v>93</x:v>
      </x:c>
      <x:c r="N240" s="40" t="s">
        <x:v>94</x:v>
      </x:c>
      <x:c r="O240" s="52" t="s">
        <x:v>1270</x:v>
      </x:c>
      <x:c r="P240" s="37" t="s">
        <x:v>1325</x:v>
      </x:c>
      <x:c r="Q240" s="36" t="s">
        <x:v>40</x:v>
      </x:c>
      <x:c r="R240" s="41"/>
      <x:c r="S240" s="37"/>
      <x:c r="T240" s="42" t="s">
        <x:v>30</x:v>
      </x:c>
      <x:c r="U240" s="43" t="s">
        <x:v>41</x:v>
      </x:c>
      <x:c r="V240" s="43" t="s">
        <x:v>1272</x:v>
      </x:c>
      <x:c r="W240" s="8" t="str">
        <x:f>+VLOOKUP($A240,'TMS- NODE'!$A$6:$N$260,6,0)</x:f>
        <x:v>107.5835337,16.47727333</x:v>
      </x:c>
    </x:row>
    <x:row r="241">
      <x:c r="A241" s="34" t="s">
        <x:v>1326</x:v>
      </x:c>
      <x:c r="B241" s="35" t="s">
        <x:v>1327</x:v>
      </x:c>
      <x:c r="C241" s="36" t="s">
        <x:v>28</x:v>
      </x:c>
      <x:c r="D241" s="36" t="s">
        <x:v>29</x:v>
      </x:c>
      <x:c r="E241" s="37" t="s">
        <x:v>30</x:v>
      </x:c>
      <x:c r="F241" s="36" t="s">
        <x:v>29</x:v>
      </x:c>
      <x:c r="G241" s="37" t="s">
        <x:v>31</x:v>
      </x:c>
      <x:c r="H241" s="38" t="s">
        <x:v>290</x:v>
      </x:c>
      <x:c r="I241" s="39" t="s">
        <x:v>291</x:v>
      </x:c>
      <x:c r="J241" s="36" t="s">
        <x:v>1327</x:v>
      </x:c>
      <x:c r="K241" s="37" t="s">
        <x:v>1328</x:v>
      </x:c>
      <x:c r="L241" s="36" t="s">
        <x:v>293</x:v>
      </x:c>
      <x:c r="M241" s="36" t="s">
        <x:v>294</x:v>
      </x:c>
      <x:c r="N241" s="40" t="s">
        <x:v>295</x:v>
      </x:c>
      <x:c r="O241" s="52" t="s">
        <x:v>1270</x:v>
      </x:c>
      <x:c r="P241" s="37" t="s">
        <x:v>1011</x:v>
      </x:c>
      <x:c r="Q241" s="36" t="s">
        <x:v>40</x:v>
      </x:c>
      <x:c r="R241" s="41"/>
      <x:c r="S241" s="37"/>
      <x:c r="T241" s="42" t="s">
        <x:v>30</x:v>
      </x:c>
      <x:c r="U241" s="43" t="s">
        <x:v>41</x:v>
      </x:c>
      <x:c r="V241" s="43" t="s">
        <x:v>1272</x:v>
      </x:c>
      <x:c r="W241" s="8" t="str">
        <x:f>+VLOOKUP($A241,'TMS- NODE'!$A$6:$N$260,6,0)</x:f>
        <x:v>107.6208807,16.44103784</x:v>
      </x:c>
    </x:row>
    <x:row r="242">
      <x:c r="A242" s="34" t="s">
        <x:v>1329</x:v>
      </x:c>
      <x:c r="B242" s="35" t="s">
        <x:v>1330</x:v>
      </x:c>
      <x:c r="C242" s="36" t="s">
        <x:v>28</x:v>
      </x:c>
      <x:c r="D242" s="36" t="s">
        <x:v>29</x:v>
      </x:c>
      <x:c r="E242" s="37" t="s">
        <x:v>30</x:v>
      </x:c>
      <x:c r="F242" s="36" t="s">
        <x:v>29</x:v>
      </x:c>
      <x:c r="G242" s="37" t="s">
        <x:v>31</x:v>
      </x:c>
      <x:c r="H242" s="38" t="s">
        <x:v>270</x:v>
      </x:c>
      <x:c r="I242" s="39" t="s">
        <x:v>271</x:v>
      </x:c>
      <x:c r="J242" s="36" t="s">
        <x:v>1330</x:v>
      </x:c>
      <x:c r="K242" s="37" t="s">
        <x:v>1331</x:v>
      </x:c>
      <x:c r="L242" s="36" t="s">
        <x:v>273</x:v>
      </x:c>
      <x:c r="M242" s="36" t="s">
        <x:v>274</x:v>
      </x:c>
      <x:c r="N242" s="40" t="s">
        <x:v>275</x:v>
      </x:c>
      <x:c r="O242" s="52" t="s">
        <x:v>1270</x:v>
      </x:c>
      <x:c r="P242" s="37" t="s">
        <x:v>1332</x:v>
      </x:c>
      <x:c r="Q242" s="36" t="s">
        <x:v>40</x:v>
      </x:c>
      <x:c r="R242" s="41"/>
      <x:c r="S242" s="37"/>
      <x:c r="T242" s="42" t="s">
        <x:v>30</x:v>
      </x:c>
      <x:c r="U242" s="43" t="s">
        <x:v>41</x:v>
      </x:c>
      <x:c r="V242" s="43" t="s">
        <x:v>1272</x:v>
      </x:c>
      <x:c r="W242" s="8" t="str">
        <x:f>+VLOOKUP($A242,'TMS- NODE'!$A$6:$N$260,6,0)</x:f>
        <x:v>107.5048768,16.35059752</x:v>
      </x:c>
    </x:row>
    <x:row r="243">
      <x:c r="A243" s="34" t="s">
        <x:v>1333</x:v>
      </x:c>
      <x:c r="B243" s="35" t="s">
        <x:v>1334</x:v>
      </x:c>
      <x:c r="C243" s="36" t="s">
        <x:v>28</x:v>
      </x:c>
      <x:c r="D243" s="36" t="s">
        <x:v>29</x:v>
      </x:c>
      <x:c r="E243" s="37" t="s">
        <x:v>30</x:v>
      </x:c>
      <x:c r="F243" s="36" t="s">
        <x:v>29</x:v>
      </x:c>
      <x:c r="G243" s="37" t="s">
        <x:v>31</x:v>
      </x:c>
      <x:c r="H243" s="38" t="s">
        <x:v>342</x:v>
      </x:c>
      <x:c r="I243" s="39" t="s">
        <x:v>343</x:v>
      </x:c>
      <x:c r="J243" s="36" t="s">
        <x:v>1334</x:v>
      </x:c>
      <x:c r="K243" s="37" t="s">
        <x:v>1335</x:v>
      </x:c>
      <x:c r="L243" s="36" t="s">
        <x:v>345</x:v>
      </x:c>
      <x:c r="M243" s="36" t="s">
        <x:v>346</x:v>
      </x:c>
      <x:c r="N243" s="40" t="s">
        <x:v>347</x:v>
      </x:c>
      <x:c r="O243" s="52" t="s">
        <x:v>1270</x:v>
      </x:c>
      <x:c r="P243" s="37" t="s">
        <x:v>375</x:v>
      </x:c>
      <x:c r="Q243" s="36" t="s">
        <x:v>40</x:v>
      </x:c>
      <x:c r="R243" s="41"/>
      <x:c r="S243" s="37"/>
      <x:c r="T243" s="42" t="s">
        <x:v>30</x:v>
      </x:c>
      <x:c r="U243" s="43" t="s">
        <x:v>41</x:v>
      </x:c>
      <x:c r="V243" s="43" t="s">
        <x:v>1272</x:v>
      </x:c>
      <x:c r="W243" s="8" t="str">
        <x:f>+VLOOKUP($A243,'TMS- NODE'!$A$6:$N$260,6,0)</x:f>
        <x:v>108.0817791,16.23602194</x:v>
      </x:c>
    </x:row>
    <x:row r="244">
      <x:c r="A244" s="34" t="s">
        <x:v>1336</x:v>
      </x:c>
      <x:c r="B244" s="35" t="s">
        <x:v>1337</x:v>
      </x:c>
      <x:c r="C244" s="36" t="s">
        <x:v>28</x:v>
      </x:c>
      <x:c r="D244" s="36" t="s">
        <x:v>29</x:v>
      </x:c>
      <x:c r="E244" s="37" t="s">
        <x:v>30</x:v>
      </x:c>
      <x:c r="F244" s="36" t="s">
        <x:v>29</x:v>
      </x:c>
      <x:c r="G244" s="37" t="s">
        <x:v>31</x:v>
      </x:c>
      <x:c r="H244" s="38" t="s">
        <x:v>720</x:v>
      </x:c>
      <x:c r="I244" s="39" t="s">
        <x:v>721</x:v>
      </x:c>
      <x:c r="J244" s="36" t="s">
        <x:v>1337</x:v>
      </x:c>
      <x:c r="K244" s="37" t="s">
        <x:v>1338</x:v>
      </x:c>
      <x:c r="L244" s="36" t="s">
        <x:v>723</x:v>
      </x:c>
      <x:c r="M244" s="36" t="s">
        <x:v>724</x:v>
      </x:c>
      <x:c r="N244" s="40" t="s">
        <x:v>725</x:v>
      </x:c>
      <x:c r="O244" s="52" t="s">
        <x:v>1270</x:v>
      </x:c>
      <x:c r="P244" s="37" t="s">
        <x:v>736</x:v>
      </x:c>
      <x:c r="Q244" s="36" t="s">
        <x:v>40</x:v>
      </x:c>
      <x:c r="R244" s="41"/>
      <x:c r="S244" s="37"/>
      <x:c r="T244" s="42" t="s">
        <x:v>30</x:v>
      </x:c>
      <x:c r="U244" s="43" t="s">
        <x:v>41</x:v>
      </x:c>
      <x:c r="V244" s="43" t="s">
        <x:v>1272</x:v>
      </x:c>
      <x:c r="W244" s="8" t="str">
        <x:f>+VLOOKUP($A244,'TMS- NODE'!$A$6:$N$260,6,0)</x:f>
        <x:v>107.4967295,16.56064421</x:v>
      </x:c>
    </x:row>
    <x:row r="245">
      <x:c r="A245" s="34" t="s">
        <x:v>1339</x:v>
      </x:c>
      <x:c r="B245" s="35" t="s">
        <x:v>1340</x:v>
      </x:c>
      <x:c r="C245" s="36" t="s">
        <x:v>28</x:v>
      </x:c>
      <x:c r="D245" s="36" t="s">
        <x:v>29</x:v>
      </x:c>
      <x:c r="E245" s="37" t="s">
        <x:v>30</x:v>
      </x:c>
      <x:c r="F245" s="36" t="s">
        <x:v>29</x:v>
      </x:c>
      <x:c r="G245" s="37" t="s">
        <x:v>31</x:v>
      </x:c>
      <x:c r="H245" s="38" t="s">
        <x:v>384</x:v>
      </x:c>
      <x:c r="I245" s="39" t="s">
        <x:v>385</x:v>
      </x:c>
      <x:c r="J245" s="36" t="s">
        <x:v>1340</x:v>
      </x:c>
      <x:c r="K245" s="37" t="s">
        <x:v>1341</x:v>
      </x:c>
      <x:c r="L245" s="36" t="s">
        <x:v>123</x:v>
      </x:c>
      <x:c r="M245" s="36" t="s">
        <x:v>124</x:v>
      </x:c>
      <x:c r="N245" s="40" t="s">
        <x:v>125</x:v>
      </x:c>
      <x:c r="O245" s="52" t="s">
        <x:v>1270</x:v>
      </x:c>
      <x:c r="P245" s="37" t="s">
        <x:v>1342</x:v>
      </x:c>
      <x:c r="Q245" s="36" t="s">
        <x:v>40</x:v>
      </x:c>
      <x:c r="R245" s="41" t="s">
        <x:v>1343</x:v>
      </x:c>
      <x:c r="S245" s="37"/>
      <x:c r="T245" s="42" t="s">
        <x:v>30</x:v>
      </x:c>
      <x:c r="U245" s="43" t="s">
        <x:v>41</x:v>
      </x:c>
      <x:c r="V245" s="43" t="s">
        <x:v>1272</x:v>
      </x:c>
      <x:c r="W245" s="8" t="str">
        <x:f>+VLOOKUP($A245,'TMS- NODE'!$A$6:$N$260,6,0)</x:f>
        <x:v>107.5115291,16.57465411</x:v>
      </x:c>
    </x:row>
    <x:row r="246">
      <x:c r="A246" s="34" t="s">
        <x:v>1344</x:v>
      </x:c>
      <x:c r="B246" s="35" t="s">
        <x:v>1345</x:v>
      </x:c>
      <x:c r="C246" s="36" t="s">
        <x:v>28</x:v>
      </x:c>
      <x:c r="D246" s="36" t="s">
        <x:v>29</x:v>
      </x:c>
      <x:c r="E246" s="37" t="s">
        <x:v>30</x:v>
      </x:c>
      <x:c r="F246" s="36" t="s">
        <x:v>29</x:v>
      </x:c>
      <x:c r="G246" s="37" t="s">
        <x:v>31</x:v>
      </x:c>
      <x:c r="H246" s="38" t="s">
        <x:v>245</x:v>
      </x:c>
      <x:c r="I246" s="39" t="s">
        <x:v>246</x:v>
      </x:c>
      <x:c r="J246" s="36" t="s">
        <x:v>1345</x:v>
      </x:c>
      <x:c r="K246" s="37" t="s">
        <x:v>1346</x:v>
      </x:c>
      <x:c r="L246" s="36" t="s">
        <x:v>248</x:v>
      </x:c>
      <x:c r="M246" s="36" t="s">
        <x:v>249</x:v>
      </x:c>
      <x:c r="N246" s="40" t="s">
        <x:v>250</x:v>
      </x:c>
      <x:c r="O246" s="52" t="s">
        <x:v>1270</x:v>
      </x:c>
      <x:c r="P246" s="37" t="s">
        <x:v>1347</x:v>
      </x:c>
      <x:c r="Q246" s="36" t="s">
        <x:v>40</x:v>
      </x:c>
      <x:c r="R246" s="41"/>
      <x:c r="S246" s="37"/>
      <x:c r="T246" s="42" t="s">
        <x:v>30</x:v>
      </x:c>
      <x:c r="U246" s="43" t="s">
        <x:v>41</x:v>
      </x:c>
      <x:c r="V246" s="43" t="s">
        <x:v>1272</x:v>
      </x:c>
      <x:c r="W246" s="8" t="str">
        <x:f>+VLOOKUP($A246,'TMS- NODE'!$A$6:$N$260,6,0)</x:f>
        <x:v>107.4478192,16.66588393</x:v>
      </x:c>
    </x:row>
    <x:row r="247">
      <x:c r="A247" s="34" t="s">
        <x:v>1348</x:v>
      </x:c>
      <x:c r="B247" s="35" t="s">
        <x:v>1349</x:v>
      </x:c>
      <x:c r="C247" s="36" t="s">
        <x:v>28</x:v>
      </x:c>
      <x:c r="D247" s="36" t="s">
        <x:v>29</x:v>
      </x:c>
      <x:c r="E247" s="37" t="s">
        <x:v>30</x:v>
      </x:c>
      <x:c r="F247" s="36" t="s">
        <x:v>29</x:v>
      </x:c>
      <x:c r="G247" s="37" t="s">
        <x:v>31</x:v>
      </x:c>
      <x:c r="H247" s="38" t="s">
        <x:v>138</x:v>
      </x:c>
      <x:c r="I247" s="39" t="s">
        <x:v>139</x:v>
      </x:c>
      <x:c r="J247" s="36" t="s">
        <x:v>1349</x:v>
      </x:c>
      <x:c r="K247" s="37" t="s">
        <x:v>1350</x:v>
      </x:c>
      <x:c r="L247" s="36" t="s">
        <x:v>141</x:v>
      </x:c>
      <x:c r="M247" s="36" t="s">
        <x:v>142</x:v>
      </x:c>
      <x:c r="N247" s="40" t="s">
        <x:v>143</x:v>
      </x:c>
      <x:c r="O247" s="52" t="s">
        <x:v>1270</x:v>
      </x:c>
      <x:c r="P247" s="37" t="s">
        <x:v>144</x:v>
      </x:c>
      <x:c r="Q247" s="36" t="s">
        <x:v>40</x:v>
      </x:c>
      <x:c r="R247" s="41" t="s">
        <x:v>1351</x:v>
      </x:c>
      <x:c r="S247" s="37"/>
      <x:c r="T247" s="42" t="s">
        <x:v>30</x:v>
      </x:c>
      <x:c r="U247" s="43" t="s">
        <x:v>41</x:v>
      </x:c>
      <x:c r="V247" s="43" t="s">
        <x:v>1272</x:v>
      </x:c>
      <x:c r="W247" s="8" t="str">
        <x:f>+VLOOKUP($A247,'TMS- NODE'!$A$6:$N$260,6,0)</x:f>
        <x:v>107.4761979,16.52520796</x:v>
      </x:c>
    </x:row>
    <x:row r="248">
      <x:c r="A248" s="34" t="s">
        <x:v>1352</x:v>
      </x:c>
      <x:c r="B248" s="35" t="s">
        <x:v>1353</x:v>
      </x:c>
      <x:c r="C248" s="36" t="s">
        <x:v>28</x:v>
      </x:c>
      <x:c r="D248" s="36" t="s">
        <x:v>29</x:v>
      </x:c>
      <x:c r="E248" s="37" t="s">
        <x:v>30</x:v>
      </x:c>
      <x:c r="F248" s="36" t="s">
        <x:v>29</x:v>
      </x:c>
      <x:c r="G248" s="37" t="s">
        <x:v>31</x:v>
      </x:c>
      <x:c r="H248" s="38" t="s">
        <x:v>228</x:v>
      </x:c>
      <x:c r="I248" s="39" t="s">
        <x:v>229</x:v>
      </x:c>
      <x:c r="J248" s="36" t="s">
        <x:v>1353</x:v>
      </x:c>
      <x:c r="K248" s="37" t="s">
        <x:v>1354</x:v>
      </x:c>
      <x:c r="L248" s="36" t="s">
        <x:v>231</x:v>
      </x:c>
      <x:c r="M248" s="36" t="s">
        <x:v>232</x:v>
      </x:c>
      <x:c r="N248" s="40" t="s">
        <x:v>233</x:v>
      </x:c>
      <x:c r="O248" s="52" t="s">
        <x:v>1270</x:v>
      </x:c>
      <x:c r="P248" s="37" t="s">
        <x:v>1355</x:v>
      </x:c>
      <x:c r="Q248" s="36" t="s">
        <x:v>40</x:v>
      </x:c>
      <x:c r="R248" s="41"/>
      <x:c r="S248" s="37"/>
      <x:c r="T248" s="42" t="s">
        <x:v>30</x:v>
      </x:c>
      <x:c r="U248" s="43" t="s">
        <x:v>41</x:v>
      </x:c>
      <x:c r="V248" s="43" t="s">
        <x:v>1272</x:v>
      </x:c>
      <x:c r="W248" s="8" t="str">
        <x:f>+VLOOKUP($A248,'TMS- NODE'!$A$6:$N$260,6,0)</x:f>
        <x:v>107.5558025,16.48166481</x:v>
      </x:c>
    </x:row>
    <x:row r="249">
      <x:c r="A249" s="34" t="s">
        <x:v>1356</x:v>
      </x:c>
      <x:c r="B249" s="35" t="s">
        <x:v>1357</x:v>
      </x:c>
      <x:c r="C249" s="36" t="s">
        <x:v>28</x:v>
      </x:c>
      <x:c r="D249" s="36" t="s">
        <x:v>29</x:v>
      </x:c>
      <x:c r="E249" s="37" t="s">
        <x:v>30</x:v>
      </x:c>
      <x:c r="F249" s="36" t="s">
        <x:v>29</x:v>
      </x:c>
      <x:c r="G249" s="37" t="s">
        <x:v>31</x:v>
      </x:c>
      <x:c r="H249" s="38" t="s">
        <x:v>148</x:v>
      </x:c>
      <x:c r="I249" s="39" t="s">
        <x:v>149</x:v>
      </x:c>
      <x:c r="J249" s="36" t="s">
        <x:v>1357</x:v>
      </x:c>
      <x:c r="K249" s="37" t="s">
        <x:v>1358</x:v>
      </x:c>
      <x:c r="L249" s="36" t="s">
        <x:v>151</x:v>
      </x:c>
      <x:c r="M249" s="36" t="s">
        <x:v>152</x:v>
      </x:c>
      <x:c r="N249" s="40" t="s">
        <x:v>153</x:v>
      </x:c>
      <x:c r="O249" s="52" t="s">
        <x:v>1270</x:v>
      </x:c>
      <x:c r="P249" s="37" t="s">
        <x:v>154</x:v>
      </x:c>
      <x:c r="Q249" s="36" t="s">
        <x:v>40</x:v>
      </x:c>
      <x:c r="R249" s="41" t="s">
        <x:v>1359</x:v>
      </x:c>
      <x:c r="S249" s="37"/>
      <x:c r="T249" s="42" t="s">
        <x:v>30</x:v>
      </x:c>
      <x:c r="U249" s="43" t="s">
        <x:v>41</x:v>
      </x:c>
      <x:c r="V249" s="43" t="s">
        <x:v>1272</x:v>
      </x:c>
      <x:c r="W249" s="8" t="str">
        <x:f>+VLOOKUP($A249,'TMS- NODE'!$A$6:$N$260,6,0)</x:f>
        <x:v>107.231889912162,16.2736382189923</x:v>
      </x:c>
    </x:row>
    <x:row r="250">
      <x:c r="A250" s="34" t="s">
        <x:v>1360</x:v>
      </x:c>
      <x:c r="B250" s="35" t="s">
        <x:v>1361</x:v>
      </x:c>
      <x:c r="C250" s="36" t="s">
        <x:v>28</x:v>
      </x:c>
      <x:c r="D250" s="36" t="s">
        <x:v>29</x:v>
      </x:c>
      <x:c r="E250" s="37" t="s">
        <x:v>30</x:v>
      </x:c>
      <x:c r="F250" s="36" t="s">
        <x:v>29</x:v>
      </x:c>
      <x:c r="G250" s="37" t="s">
        <x:v>31</x:v>
      </x:c>
      <x:c r="H250" s="38" t="s">
        <x:v>45</x:v>
      </x:c>
      <x:c r="I250" s="39" t="s">
        <x:v>46</x:v>
      </x:c>
      <x:c r="J250" s="36" t="s">
        <x:v>1361</x:v>
      </x:c>
      <x:c r="K250" s="37" t="s">
        <x:v>1362</x:v>
      </x:c>
      <x:c r="L250" s="36" t="s">
        <x:v>48</x:v>
      </x:c>
      <x:c r="M250" s="36" t="s">
        <x:v>49</x:v>
      </x:c>
      <x:c r="N250" s="40" t="s">
        <x:v>50</x:v>
      </x:c>
      <x:c r="O250" s="52" t="s">
        <x:v>1270</x:v>
      </x:c>
      <x:c r="P250" s="37" t="s">
        <x:v>159</x:v>
      </x:c>
      <x:c r="Q250" s="36" t="s">
        <x:v>40</x:v>
      </x:c>
      <x:c r="R250" s="41" t="s">
        <x:v>1363</x:v>
      </x:c>
      <x:c r="S250" s="37"/>
      <x:c r="T250" s="42" t="s">
        <x:v>30</x:v>
      </x:c>
      <x:c r="U250" s="43" t="s">
        <x:v>41</x:v>
      </x:c>
      <x:c r="V250" s="43" t="s">
        <x:v>1272</x:v>
      </x:c>
      <x:c r="W250" s="8" t="str">
        <x:f>+VLOOKUP($A250,'TMS- NODE'!$A$6:$N$260,6,0)</x:f>
        <x:v>107.67358099555,16.4117269209322</x:v>
      </x:c>
    </x:row>
    <x:row r="251">
      <x:c r="A251" s="34" t="s">
        <x:v>1364</x:v>
      </x:c>
      <x:c r="B251" s="35" t="s">
        <x:v>1365</x:v>
      </x:c>
      <x:c r="C251" s="36" t="s">
        <x:v>28</x:v>
      </x:c>
      <x:c r="D251" s="36" t="s">
        <x:v>29</x:v>
      </x:c>
      <x:c r="E251" s="37" t="s">
        <x:v>30</x:v>
      </x:c>
      <x:c r="F251" s="36" t="s">
        <x:v>29</x:v>
      </x:c>
      <x:c r="G251" s="37" t="s">
        <x:v>31</x:v>
      </x:c>
      <x:c r="H251" s="38" t="s">
        <x:v>1050</x:v>
      </x:c>
      <x:c r="I251" s="39" t="s">
        <x:v>1051</x:v>
      </x:c>
      <x:c r="J251" s="36" t="s">
        <x:v>1365</x:v>
      </x:c>
      <x:c r="K251" s="37" t="s">
        <x:v>1366</x:v>
      </x:c>
      <x:c r="L251" s="36" t="s">
        <x:v>1053</x:v>
      </x:c>
      <x:c r="M251" s="36" t="s">
        <x:v>1054</x:v>
      </x:c>
      <x:c r="N251" s="40" t="s">
        <x:v>1055</x:v>
      </x:c>
      <x:c r="O251" s="52" t="s">
        <x:v>1270</x:v>
      </x:c>
      <x:c r="P251" s="37" t="s">
        <x:v>1367</x:v>
      </x:c>
      <x:c r="Q251" s="36" t="s">
        <x:v>40</x:v>
      </x:c>
      <x:c r="R251" s="41" t="s">
        <x:v>1368</x:v>
      </x:c>
      <x:c r="S251" s="37"/>
      <x:c r="T251" s="42" t="s">
        <x:v>30</x:v>
      </x:c>
      <x:c r="U251" s="43" t="s">
        <x:v>41</x:v>
      </x:c>
      <x:c r="V251" s="43" t="s">
        <x:v>1272</x:v>
      </x:c>
      <x:c r="W251" s="8" t="str">
        <x:f>+VLOOKUP($A251,'TMS- NODE'!$A$6:$N$260,6,0)</x:f>
        <x:v>107.682627226837,16.1279322474207</x:v>
      </x:c>
    </x:row>
    <x:row r="252">
      <x:c r="A252" s="34" t="s">
        <x:v>1369</x:v>
      </x:c>
      <x:c r="B252" s="35" t="s">
        <x:v>1370</x:v>
      </x:c>
      <x:c r="C252" s="36" t="s">
        <x:v>28</x:v>
      </x:c>
      <x:c r="D252" s="36" t="s">
        <x:v>29</x:v>
      </x:c>
      <x:c r="E252" s="37" t="s">
        <x:v>30</x:v>
      </x:c>
      <x:c r="F252" s="36" t="s">
        <x:v>29</x:v>
      </x:c>
      <x:c r="G252" s="37" t="s">
        <x:v>31</x:v>
      </x:c>
      <x:c r="H252" s="38" t="s">
        <x:v>163</x:v>
      </x:c>
      <x:c r="I252" s="39" t="s">
        <x:v>164</x:v>
      </x:c>
      <x:c r="J252" s="36" t="s">
        <x:v>1370</x:v>
      </x:c>
      <x:c r="K252" s="37" t="s">
        <x:v>1371</x:v>
      </x:c>
      <x:c r="L252" s="36" t="s">
        <x:v>166</x:v>
      </x:c>
      <x:c r="M252" s="36" t="s">
        <x:v>167</x:v>
      </x:c>
      <x:c r="N252" s="40" t="s">
        <x:v>168</x:v>
      </x:c>
      <x:c r="O252" s="52" t="s">
        <x:v>1270</x:v>
      </x:c>
      <x:c r="P252" s="37" t="s">
        <x:v>1372</x:v>
      </x:c>
      <x:c r="Q252" s="36" t="s">
        <x:v>40</x:v>
      </x:c>
      <x:c r="R252" s="41"/>
      <x:c r="S252" s="37"/>
      <x:c r="T252" s="42" t="s">
        <x:v>30</x:v>
      </x:c>
      <x:c r="U252" s="43" t="s">
        <x:v>41</x:v>
      </x:c>
      <x:c r="V252" s="43" t="s">
        <x:v>1272</x:v>
      </x:c>
      <x:c r="W252" s="8" t="str">
        <x:f>+VLOOKUP($A252,'TMS- NODE'!$A$6:$N$260,6,0)</x:f>
        <x:v>107.682627226837,16.1279322474207</x:v>
      </x:c>
    </x:row>
    <x:row r="253">
      <x:c r="A253" s="34" t="s">
        <x:v>1373</x:v>
      </x:c>
      <x:c r="B253" s="35" t="s">
        <x:v>1374</x:v>
      </x:c>
      <x:c r="C253" s="36" t="s">
        <x:v>28</x:v>
      </x:c>
      <x:c r="D253" s="36" t="s">
        <x:v>29</x:v>
      </x:c>
      <x:c r="E253" s="37" t="s">
        <x:v>30</x:v>
      </x:c>
      <x:c r="F253" s="36" t="s">
        <x:v>29</x:v>
      </x:c>
      <x:c r="G253" s="37" t="s">
        <x:v>31</x:v>
      </x:c>
      <x:c r="H253" s="38" t="s">
        <x:v>300</x:v>
      </x:c>
      <x:c r="I253" s="39" t="s">
        <x:v>301</x:v>
      </x:c>
      <x:c r="J253" s="36" t="s">
        <x:v>1374</x:v>
      </x:c>
      <x:c r="K253" s="37" t="s">
        <x:v>1375</x:v>
      </x:c>
      <x:c r="L253" s="36" t="s">
        <x:v>303</x:v>
      </x:c>
      <x:c r="M253" s="36" t="s">
        <x:v>304</x:v>
      </x:c>
      <x:c r="N253" s="40" t="s">
        <x:v>305</x:v>
      </x:c>
      <x:c r="O253" s="52" t="s">
        <x:v>1270</x:v>
      </x:c>
      <x:c r="P253" s="37" t="s">
        <x:v>1115</x:v>
      </x:c>
      <x:c r="Q253" s="36" t="s">
        <x:v>40</x:v>
      </x:c>
      <x:c r="R253" s="41"/>
      <x:c r="S253" s="37"/>
      <x:c r="T253" s="42" t="s">
        <x:v>30</x:v>
      </x:c>
      <x:c r="U253" s="43" t="s">
        <x:v>41</x:v>
      </x:c>
      <x:c r="V253" s="43" t="s">
        <x:v>1272</x:v>
      </x:c>
      <x:c r="W253" s="8" t="str">
        <x:f>+VLOOKUP($A253,'TMS- NODE'!$A$6:$N$260,6,0)</x:f>
        <x:v>107.6395865,16.54790068</x:v>
      </x:c>
    </x:row>
    <x:row r="254">
      <x:c r="A254" s="34" t="s">
        <x:v>1376</x:v>
      </x:c>
      <x:c r="B254" s="35" t="s">
        <x:v>1377</x:v>
      </x:c>
      <x:c r="C254" s="36" t="s">
        <x:v>28</x:v>
      </x:c>
      <x:c r="D254" s="36" t="s">
        <x:v>29</x:v>
      </x:c>
      <x:c r="E254" s="37" t="s">
        <x:v>30</x:v>
      </x:c>
      <x:c r="F254" s="36" t="s">
        <x:v>29</x:v>
      </x:c>
      <x:c r="G254" s="37" t="s">
        <x:v>31</x:v>
      </x:c>
      <x:c r="H254" s="38" t="s">
        <x:v>1094</x:v>
      </x:c>
      <x:c r="I254" s="39" t="s">
        <x:v>1095</x:v>
      </x:c>
      <x:c r="J254" s="36" t="s">
        <x:v>1377</x:v>
      </x:c>
      <x:c r="K254" s="37" t="s">
        <x:v>1378</x:v>
      </x:c>
      <x:c r="L254" s="36" t="s">
        <x:v>1097</x:v>
      </x:c>
      <x:c r="M254" s="36" t="s">
        <x:v>1098</x:v>
      </x:c>
      <x:c r="N254" s="40" t="s">
        <x:v>1099</x:v>
      </x:c>
      <x:c r="O254" s="52" t="s">
        <x:v>1270</x:v>
      </x:c>
      <x:c r="P254" s="37" t="s">
        <x:v>1120</x:v>
      </x:c>
      <x:c r="Q254" s="36" t="s">
        <x:v>40</x:v>
      </x:c>
      <x:c r="R254" s="41"/>
      <x:c r="S254" s="37"/>
      <x:c r="T254" s="42" t="s">
        <x:v>30</x:v>
      </x:c>
      <x:c r="U254" s="43" t="s">
        <x:v>41</x:v>
      </x:c>
      <x:c r="V254" s="43" t="s">
        <x:v>1272</x:v>
      </x:c>
      <x:c r="W254" s="8" t="str">
        <x:f>+VLOOKUP($A254,'TMS- NODE'!$A$6:$N$260,6,0)</x:f>
        <x:v>107.5832509,16.51744811</x:v>
      </x:c>
    </x:row>
    <x:row r="255">
      <x:c r="A255" s="34" t="s">
        <x:v>1379</x:v>
      </x:c>
      <x:c r="B255" s="35" t="s">
        <x:v>1380</x:v>
      </x:c>
      <x:c r="C255" s="36" t="s">
        <x:v>28</x:v>
      </x:c>
      <x:c r="D255" s="36" t="s">
        <x:v>29</x:v>
      </x:c>
      <x:c r="E255" s="37" t="s">
        <x:v>30</x:v>
      </x:c>
      <x:c r="F255" s="36" t="s">
        <x:v>29</x:v>
      </x:c>
      <x:c r="G255" s="37" t="s">
        <x:v>31</x:v>
      </x:c>
      <x:c r="H255" s="38" t="s">
        <x:v>1139</x:v>
      </x:c>
      <x:c r="I255" s="39" t="s">
        <x:v>1140</x:v>
      </x:c>
      <x:c r="J255" s="36" t="s">
        <x:v>1380</x:v>
      </x:c>
      <x:c r="K255" s="37" t="s">
        <x:v>1381</x:v>
      </x:c>
      <x:c r="L255" s="36" t="s">
        <x:v>67</x:v>
      </x:c>
      <x:c r="M255" s="36" t="s">
        <x:v>68</x:v>
      </x:c>
      <x:c r="N255" s="40" t="s">
        <x:v>69</x:v>
      </x:c>
      <x:c r="O255" s="52" t="s">
        <x:v>1270</x:v>
      </x:c>
      <x:c r="P255" s="37" t="s">
        <x:v>1382</x:v>
      </x:c>
      <x:c r="Q255" s="36" t="s">
        <x:v>40</x:v>
      </x:c>
      <x:c r="R255" s="41"/>
      <x:c r="S255" s="37"/>
      <x:c r="T255" s="42" t="s">
        <x:v>30</x:v>
      </x:c>
      <x:c r="U255" s="43" t="s">
        <x:v>41</x:v>
      </x:c>
      <x:c r="V255" s="43" t="s">
        <x:v>1272</x:v>
      </x:c>
      <x:c r="W255" s="8" t="str">
        <x:f>+VLOOKUP($A255,'TMS- NODE'!$A$6:$N$260,6,0)</x:f>
        <x:v>107.6668753,16.46827862</x:v>
      </x:c>
    </x:row>
    <x:row r="256">
      <x:c r="A256" s="34" t="s">
        <x:v>1383</x:v>
      </x:c>
      <x:c r="B256" s="35" t="s">
        <x:v>1384</x:v>
      </x:c>
      <x:c r="C256" s="36" t="s">
        <x:v>28</x:v>
      </x:c>
      <x:c r="D256" s="36" t="s">
        <x:v>29</x:v>
      </x:c>
      <x:c r="E256" s="37" t="s">
        <x:v>30</x:v>
      </x:c>
      <x:c r="F256" s="36" t="s">
        <x:v>29</x:v>
      </x:c>
      <x:c r="G256" s="37" t="s">
        <x:v>31</x:v>
      </x:c>
      <x:c r="H256" s="38" t="s">
        <x:v>64</x:v>
      </x:c>
      <x:c r="I256" s="39" t="s">
        <x:v>65</x:v>
      </x:c>
      <x:c r="J256" s="36" t="s">
        <x:v>1384</x:v>
      </x:c>
      <x:c r="K256" s="37" t="s">
        <x:v>1385</x:v>
      </x:c>
      <x:c r="L256" s="36" t="s">
        <x:v>174</x:v>
      </x:c>
      <x:c r="M256" s="36" t="s">
        <x:v>175</x:v>
      </x:c>
      <x:c r="N256" s="40" t="s">
        <x:v>176</x:v>
      </x:c>
      <x:c r="O256" s="52" t="s">
        <x:v>1270</x:v>
      </x:c>
      <x:c r="P256" s="37" t="s">
        <x:v>177</x:v>
      </x:c>
      <x:c r="Q256" s="36" t="s">
        <x:v>40</x:v>
      </x:c>
      <x:c r="R256" s="41" t="s">
        <x:v>1386</x:v>
      </x:c>
      <x:c r="S256" s="37"/>
      <x:c r="T256" s="42" t="s">
        <x:v>30</x:v>
      </x:c>
      <x:c r="U256" s="43" t="s">
        <x:v>41</x:v>
      </x:c>
      <x:c r="V256" s="43" t="s">
        <x:v>1272</x:v>
      </x:c>
      <x:c r="W256" s="8" t="str">
        <x:f>+VLOOKUP($A256,'TMS- NODE'!$A$6:$N$260,6,0)</x:f>
        <x:v>107.7145004,16.44638613</x:v>
      </x:c>
    </x:row>
    <x:row r="257">
      <x:c r="A257" s="34" t="s">
        <x:v>1387</x:v>
      </x:c>
      <x:c r="B257" s="35" t="s">
        <x:v>1388</x:v>
      </x:c>
      <x:c r="C257" s="36" t="s">
        <x:v>28</x:v>
      </x:c>
      <x:c r="D257" s="36" t="s">
        <x:v>29</x:v>
      </x:c>
      <x:c r="E257" s="37" t="s">
        <x:v>30</x:v>
      </x:c>
      <x:c r="F257" s="36" t="s">
        <x:v>29</x:v>
      </x:c>
      <x:c r="G257" s="37" t="s">
        <x:v>31</x:v>
      </x:c>
      <x:c r="H257" s="38" t="s">
        <x:v>1188</x:v>
      </x:c>
      <x:c r="I257" s="39" t="s">
        <x:v>1189</x:v>
      </x:c>
      <x:c r="J257" s="36" t="s">
        <x:v>1388</x:v>
      </x:c>
      <x:c r="K257" s="37" t="s">
        <x:v>1389</x:v>
      </x:c>
      <x:c r="L257" s="36" t="s">
        <x:v>520</x:v>
      </x:c>
      <x:c r="M257" s="36" t="s">
        <x:v>521</x:v>
      </x:c>
      <x:c r="N257" s="40" t="s">
        <x:v>522</x:v>
      </x:c>
      <x:c r="O257" s="52" t="s">
        <x:v>1270</x:v>
      </x:c>
      <x:c r="P257" s="37" t="s">
        <x:v>1390</x:v>
      </x:c>
      <x:c r="Q257" s="36" t="s">
        <x:v>40</x:v>
      </x:c>
      <x:c r="R257" s="41"/>
      <x:c r="S257" s="37"/>
      <x:c r="T257" s="42" t="s">
        <x:v>30</x:v>
      </x:c>
      <x:c r="U257" s="43" t="s">
        <x:v>41</x:v>
      </x:c>
      <x:c r="V257" s="43" t="s">
        <x:v>1272</x:v>
      </x:c>
      <x:c r="W257" s="8" t="str">
        <x:f>+VLOOKUP($A257,'TMS- NODE'!$A$6:$N$260,6,0)</x:f>
        <x:v>107.7701211,16.32429538</x:v>
      </x:c>
    </x:row>
    <x:row r="258">
      <x:c r="A258" s="34" t="s">
        <x:v>1391</x:v>
      </x:c>
      <x:c r="B258" s="35" t="s">
        <x:v>1392</x:v>
      </x:c>
      <x:c r="C258" s="36" t="s">
        <x:v>28</x:v>
      </x:c>
      <x:c r="D258" s="36" t="s">
        <x:v>29</x:v>
      </x:c>
      <x:c r="E258" s="37" t="s">
        <x:v>30</x:v>
      </x:c>
      <x:c r="F258" s="36" t="s">
        <x:v>29</x:v>
      </x:c>
      <x:c r="G258" s="37" t="s">
        <x:v>31</x:v>
      </x:c>
      <x:c r="H258" s="38" t="s">
        <x:v>581</x:v>
      </x:c>
      <x:c r="I258" s="39" t="s">
        <x:v>582</x:v>
      </x:c>
      <x:c r="J258" s="36" t="s">
        <x:v>1392</x:v>
      </x:c>
      <x:c r="K258" s="37" t="s">
        <x:v>1393</x:v>
      </x:c>
      <x:c r="L258" s="36" t="s">
        <x:v>182</x:v>
      </x:c>
      <x:c r="M258" s="36" t="s">
        <x:v>183</x:v>
      </x:c>
      <x:c r="N258" s="40" t="s">
        <x:v>184</x:v>
      </x:c>
      <x:c r="O258" s="52" t="s">
        <x:v>1270</x:v>
      </x:c>
      <x:c r="P258" s="37" t="s">
        <x:v>185</x:v>
      </x:c>
      <x:c r="Q258" s="36" t="s">
        <x:v>40</x:v>
      </x:c>
      <x:c r="R258" s="41" t="s">
        <x:v>186</x:v>
      </x:c>
      <x:c r="S258" s="37"/>
      <x:c r="T258" s="42" t="s">
        <x:v>30</x:v>
      </x:c>
      <x:c r="U258" s="43" t="s">
        <x:v>41</x:v>
      </x:c>
      <x:c r="V258" s="43" t="s">
        <x:v>1272</x:v>
      </x:c>
      <x:c r="W258" s="8" t="str">
        <x:f>+VLOOKUP($A258,'TMS- NODE'!$A$6:$N$260,6,0)</x:f>
        <x:v>107.860034879957,16.2803428466448</x:v>
      </x:c>
    </x:row>
    <x:row r="259">
      <x:c r="A259" s="34" t="s">
        <x:v>1394</x:v>
      </x:c>
      <x:c r="B259" s="35" t="s">
        <x:v>1395</x:v>
      </x:c>
      <x:c r="C259" s="36" t="s">
        <x:v>28</x:v>
      </x:c>
      <x:c r="D259" s="36" t="s">
        <x:v>29</x:v>
      </x:c>
      <x:c r="E259" s="37" t="s">
        <x:v>30</x:v>
      </x:c>
      <x:c r="F259" s="36" t="s">
        <x:v>29</x:v>
      </x:c>
      <x:c r="G259" s="37" t="s">
        <x:v>31</x:v>
      </x:c>
      <x:c r="H259" s="38" t="s">
        <x:v>364</x:v>
      </x:c>
      <x:c r="I259" s="39" t="s">
        <x:v>365</x:v>
      </x:c>
      <x:c r="J259" s="36" t="s">
        <x:v>1395</x:v>
      </x:c>
      <x:c r="K259" s="37" t="s">
        <x:v>1396</x:v>
      </x:c>
      <x:c r="L259" s="36" t="s">
        <x:v>367</x:v>
      </x:c>
      <x:c r="M259" s="36" t="s">
        <x:v>368</x:v>
      </x:c>
      <x:c r="N259" s="40" t="s">
        <x:v>369</x:v>
      </x:c>
      <x:c r="O259" s="52" t="s">
        <x:v>1270</x:v>
      </x:c>
      <x:c r="P259" s="37" t="s">
        <x:v>1200</x:v>
      </x:c>
      <x:c r="Q259" s="36" t="s">
        <x:v>40</x:v>
      </x:c>
      <x:c r="R259" s="41"/>
      <x:c r="S259" s="37"/>
      <x:c r="T259" s="42" t="s">
        <x:v>30</x:v>
      </x:c>
      <x:c r="U259" s="43" t="s">
        <x:v>41</x:v>
      </x:c>
      <x:c r="V259" s="43" t="s">
        <x:v>1272</x:v>
      </x:c>
      <x:c r="W259" s="8" t="str">
        <x:f>+VLOOKUP($A259,'TMS- NODE'!$A$6:$N$260,6,0)</x:f>
        <x:v>107.746396,16.33512767</x:v>
      </x:c>
    </x:row>
    <x:row r="260">
      <x:c r="A260" s="34" t="s">
        <x:v>1397</x:v>
      </x:c>
      <x:c r="B260" s="35" t="s">
        <x:v>1398</x:v>
      </x:c>
      <x:c r="C260" s="36" t="s">
        <x:v>28</x:v>
      </x:c>
      <x:c r="D260" s="36" t="s">
        <x:v>29</x:v>
      </x:c>
      <x:c r="E260" s="37" t="s">
        <x:v>30</x:v>
      </x:c>
      <x:c r="F260" s="36" t="s">
        <x:v>29</x:v>
      </x:c>
      <x:c r="G260" s="37" t="s">
        <x:v>31</x:v>
      </x:c>
      <x:c r="H260" s="38" t="s">
        <x:v>327</x:v>
      </x:c>
      <x:c r="I260" s="39" t="s">
        <x:v>328</x:v>
      </x:c>
      <x:c r="J260" s="36" t="s">
        <x:v>1398</x:v>
      </x:c>
      <x:c r="K260" s="37" t="s">
        <x:v>1399</x:v>
      </x:c>
      <x:c r="L260" s="36" t="s">
        <x:v>330</x:v>
      </x:c>
      <x:c r="M260" s="36" t="s">
        <x:v>331</x:v>
      </x:c>
      <x:c r="N260" s="40" t="s">
        <x:v>332</x:v>
      </x:c>
      <x:c r="O260" s="52" t="s">
        <x:v>1270</x:v>
      </x:c>
      <x:c r="P260" s="37" t="s">
        <x:v>1161</x:v>
      </x:c>
      <x:c r="Q260" s="36" t="s">
        <x:v>40</x:v>
      </x:c>
      <x:c r="R260" s="41"/>
      <x:c r="S260" s="37"/>
      <x:c r="T260" s="42" t="s">
        <x:v>30</x:v>
      </x:c>
      <x:c r="U260" s="43" t="s">
        <x:v>41</x:v>
      </x:c>
      <x:c r="V260" s="43" t="s">
        <x:v>1272</x:v>
      </x:c>
      <x:c r="W260" s="8" t="str">
        <x:f>+VLOOKUP($A260,'TMS- NODE'!$A$6:$N$260,6,0)</x:f>
        <x:v>107.784874,16.4335387</x:v>
      </x:c>
    </x:row>
    <x:row r="261">
      <x:c r="A261" s="34" t="s">
        <x:v>1400</x:v>
      </x:c>
      <x:c r="B261" s="35" t="s">
        <x:v>1401</x:v>
      </x:c>
      <x:c r="C261" s="36" t="s">
        <x:v>28</x:v>
      </x:c>
      <x:c r="D261" s="36" t="s">
        <x:v>29</x:v>
      </x:c>
      <x:c r="E261" s="37" t="s">
        <x:v>30</x:v>
      </x:c>
      <x:c r="F261" s="36" t="s">
        <x:v>29</x:v>
      </x:c>
      <x:c r="G261" s="37" t="s">
        <x:v>31</x:v>
      </x:c>
      <x:c r="H261" s="38" t="s">
        <x:v>352</x:v>
      </x:c>
      <x:c r="I261" s="39" t="s">
        <x:v>353</x:v>
      </x:c>
      <x:c r="J261" s="36" t="s">
        <x:v>1401</x:v>
      </x:c>
      <x:c r="K261" s="37" t="s">
        <x:v>1402</x:v>
      </x:c>
      <x:c r="L261" s="36" t="s">
        <x:v>102</x:v>
      </x:c>
      <x:c r="M261" s="36" t="s">
        <x:v>103</x:v>
      </x:c>
      <x:c r="N261" s="40" t="s">
        <x:v>104</x:v>
      </x:c>
      <x:c r="O261" s="52" t="s">
        <x:v>1270</x:v>
      </x:c>
      <x:c r="P261" s="37" t="s">
        <x:v>1175</x:v>
      </x:c>
      <x:c r="Q261" s="36" t="s">
        <x:v>40</x:v>
      </x:c>
      <x:c r="R261" s="41"/>
      <x:c r="S261" s="37"/>
      <x:c r="T261" s="42" t="s">
        <x:v>30</x:v>
      </x:c>
      <x:c r="U261" s="43" t="s">
        <x:v>41</x:v>
      </x:c>
      <x:c r="V261" s="43" t="s">
        <x:v>1272</x:v>
      </x:c>
      <x:c r="W261" s="8" t="str">
        <x:f>+VLOOKUP($A261,'TMS- NODE'!$A$6:$N$260,6,0)</x:f>
        <x:v>107.8908936,16.3478062</x:v>
      </x:c>
    </x:row>
    <x:row r="262">
      <x:c r="A262" s="34" t="s">
        <x:v>1403</x:v>
      </x:c>
      <x:c r="B262" s="35" t="s">
        <x:v>1404</x:v>
      </x:c>
      <x:c r="C262" s="36" t="s">
        <x:v>28</x:v>
      </x:c>
      <x:c r="D262" s="36" t="s">
        <x:v>29</x:v>
      </x:c>
      <x:c r="E262" s="37" t="s">
        <x:v>30</x:v>
      </x:c>
      <x:c r="F262" s="36" t="s">
        <x:v>29</x:v>
      </x:c>
      <x:c r="G262" s="37" t="s">
        <x:v>31</x:v>
      </x:c>
      <x:c r="H262" s="38" t="s">
        <x:v>280</x:v>
      </x:c>
      <x:c r="I262" s="39" t="s">
        <x:v>281</x:v>
      </x:c>
      <x:c r="J262" s="36" t="s">
        <x:v>1404</x:v>
      </x:c>
      <x:c r="K262" s="37" t="s">
        <x:v>1405</x:v>
      </x:c>
      <x:c r="L262" s="36" t="s">
        <x:v>283</x:v>
      </x:c>
      <x:c r="M262" s="36" t="s">
        <x:v>284</x:v>
      </x:c>
      <x:c r="N262" s="40" t="s">
        <x:v>285</x:v>
      </x:c>
      <x:c r="O262" s="52" t="s">
        <x:v>1270</x:v>
      </x:c>
      <x:c r="P262" s="37" t="s">
        <x:v>929</x:v>
      </x:c>
      <x:c r="Q262" s="36" t="s">
        <x:v>40</x:v>
      </x:c>
      <x:c r="R262" s="41"/>
      <x:c r="S262" s="37"/>
      <x:c r="T262" s="42" t="s">
        <x:v>30</x:v>
      </x:c>
      <x:c r="U262" s="43" t="s">
        <x:v>41</x:v>
      </x:c>
      <x:c r="V262" s="43" t="s">
        <x:v>1272</x:v>
      </x:c>
      <x:c r="W262" s="8" t="str">
        <x:f>+VLOOKUP($A262,'TMS- NODE'!$A$6:$N$260,6,0)</x:f>
        <x:v>107.231889912162,16.2736382189923</x:v>
      </x:c>
    </x:row>
    <x:row r="263">
      <x:c r="A263" s="34" t="s">
        <x:v>1394</x:v>
      </x:c>
      <x:c r="B263" s="35" t="s">
        <x:v>1395</x:v>
      </x:c>
      <x:c r="C263" s="36" t="s">
        <x:v>28</x:v>
      </x:c>
      <x:c r="D263" s="36" t="s">
        <x:v>29</x:v>
      </x:c>
      <x:c r="E263" s="37" t="s">
        <x:v>30</x:v>
      </x:c>
      <x:c r="F263" s="36" t="s">
        <x:v>29</x:v>
      </x:c>
      <x:c r="G263" s="37" t="s">
        <x:v>31</x:v>
      </x:c>
      <x:c r="H263" s="36" t="s">
        <x:v>1395</x:v>
      </x:c>
      <x:c r="I263" s="37" t="s">
        <x:v>1396</x:v>
      </x:c>
      <x:c r="J263" s="36" t="s">
        <x:v>367</x:v>
      </x:c>
      <x:c r="K263" s="36" t="s">
        <x:v>368</x:v>
      </x:c>
      <x:c r="L263" s="40" t="s">
        <x:v>369</x:v>
      </x:c>
      <x:c r="M263" s="52" t="s">
        <x:v>1406</x:v>
      </x:c>
      <x:c r="N263" s="37" t="s">
        <x:v>1200</x:v>
      </x:c>
      <x:c r="O263" s="45" t="s">
        <x:v>1270</x:v>
      </x:c>
      <x:c r="P263" s="41"/>
      <x:c r="Q263" s="37"/>
      <x:c r="R263" s="42" t="s">
        <x:v>30</x:v>
      </x:c>
      <x:c r="S263" s="43" t="s">
        <x:v>41</x:v>
      </x:c>
      <x:c r="T263" s="43" t="s">
        <x:v>1272</x:v>
      </x:c>
      <x:c r="W263" s="8" t="str">
        <x:f>+VLOOKUP($A263,'TMS- NODE'!$A$6:$N$260,6,0)</x:f>
        <x:v>107.746396,16.33512767</x:v>
      </x:c>
    </x:row>
    <x:row r="264">
      <x:c r="A264" s="34" t="s">
        <x:v>1397</x:v>
      </x:c>
      <x:c r="B264" s="35" t="s">
        <x:v>1398</x:v>
      </x:c>
      <x:c r="C264" s="36" t="s">
        <x:v>28</x:v>
      </x:c>
      <x:c r="D264" s="36" t="s">
        <x:v>29</x:v>
      </x:c>
      <x:c r="E264" s="37" t="s">
        <x:v>30</x:v>
      </x:c>
      <x:c r="F264" s="36" t="s">
        <x:v>29</x:v>
      </x:c>
      <x:c r="G264" s="37" t="s">
        <x:v>31</x:v>
      </x:c>
      <x:c r="H264" s="36" t="s">
        <x:v>1398</x:v>
      </x:c>
      <x:c r="I264" s="37" t="s">
        <x:v>1399</x:v>
      </x:c>
      <x:c r="J264" s="36" t="s">
        <x:v>330</x:v>
      </x:c>
      <x:c r="K264" s="36" t="s">
        <x:v>331</x:v>
      </x:c>
      <x:c r="L264" s="40" t="s">
        <x:v>332</x:v>
      </x:c>
      <x:c r="M264" s="52" t="s">
        <x:v>1406</x:v>
      </x:c>
      <x:c r="N264" s="37" t="s">
        <x:v>1161</x:v>
      </x:c>
      <x:c r="O264" s="45" t="s">
        <x:v>1270</x:v>
      </x:c>
      <x:c r="P264" s="41"/>
      <x:c r="Q264" s="37"/>
      <x:c r="R264" s="42" t="s">
        <x:v>30</x:v>
      </x:c>
      <x:c r="S264" s="43" t="s">
        <x:v>41</x:v>
      </x:c>
      <x:c r="T264" s="43" t="s">
        <x:v>1272</x:v>
      </x:c>
      <x:c r="W264" s="8" t="str">
        <x:f>+VLOOKUP($A264,'TMS- NODE'!$A$6:$N$260,6,0)</x:f>
        <x:v>107.784874,16.4335387</x:v>
      </x:c>
    </x:row>
    <x:row r="265">
      <x:c r="A265" s="34" t="s">
        <x:v>1400</x:v>
      </x:c>
      <x:c r="B265" s="35" t="s">
        <x:v>1401</x:v>
      </x:c>
      <x:c r="C265" s="36" t="s">
        <x:v>28</x:v>
      </x:c>
      <x:c r="D265" s="36" t="s">
        <x:v>29</x:v>
      </x:c>
      <x:c r="E265" s="37" t="s">
        <x:v>30</x:v>
      </x:c>
      <x:c r="F265" s="36" t="s">
        <x:v>29</x:v>
      </x:c>
      <x:c r="G265" s="37" t="s">
        <x:v>31</x:v>
      </x:c>
      <x:c r="H265" s="36" t="s">
        <x:v>1401</x:v>
      </x:c>
      <x:c r="I265" s="37" t="s">
        <x:v>1402</x:v>
      </x:c>
      <x:c r="J265" s="36" t="s">
        <x:v>102</x:v>
      </x:c>
      <x:c r="K265" s="36" t="s">
        <x:v>103</x:v>
      </x:c>
      <x:c r="L265" s="40" t="s">
        <x:v>104</x:v>
      </x:c>
      <x:c r="M265" s="52" t="s">
        <x:v>1406</x:v>
      </x:c>
      <x:c r="N265" s="37" t="s">
        <x:v>1175</x:v>
      </x:c>
      <x:c r="O265" s="45" t="s">
        <x:v>1270</x:v>
      </x:c>
      <x:c r="P265" s="41"/>
      <x:c r="Q265" s="37"/>
      <x:c r="R265" s="42" t="s">
        <x:v>30</x:v>
      </x:c>
      <x:c r="S265" s="43" t="s">
        <x:v>41</x:v>
      </x:c>
      <x:c r="T265" s="43" t="s">
        <x:v>1272</x:v>
      </x:c>
      <x:c r="W265" s="8" t="str">
        <x:f>+VLOOKUP($A265,'TMS- NODE'!$A$6:$N$260,6,0)</x:f>
        <x:v>107.8908936,16.3478062</x:v>
      </x:c>
    </x:row>
    <x:row r="266">
      <x:c r="A266" s="34" t="s">
        <x:v>1403</x:v>
      </x:c>
      <x:c r="B266" s="35" t="s">
        <x:v>1404</x:v>
      </x:c>
      <x:c r="C266" s="36" t="s">
        <x:v>28</x:v>
      </x:c>
      <x:c r="D266" s="36" t="s">
        <x:v>29</x:v>
      </x:c>
      <x:c r="E266" s="37" t="s">
        <x:v>30</x:v>
      </x:c>
      <x:c r="F266" s="36" t="s">
        <x:v>29</x:v>
      </x:c>
      <x:c r="G266" s="37" t="s">
        <x:v>31</x:v>
      </x:c>
      <x:c r="H266" s="36" t="s">
        <x:v>1404</x:v>
      </x:c>
      <x:c r="I266" s="37" t="s">
        <x:v>1405</x:v>
      </x:c>
      <x:c r="J266" s="36" t="s">
        <x:v>283</x:v>
      </x:c>
      <x:c r="K266" s="36" t="s">
        <x:v>284</x:v>
      </x:c>
      <x:c r="L266" s="40" t="s">
        <x:v>285</x:v>
      </x:c>
      <x:c r="M266" s="52" t="s">
        <x:v>1406</x:v>
      </x:c>
      <x:c r="N266" s="37" t="s">
        <x:v>929</x:v>
      </x:c>
      <x:c r="O266" s="45" t="s">
        <x:v>1270</x:v>
      </x:c>
      <x:c r="P266" s="41"/>
      <x:c r="Q266" s="37"/>
      <x:c r="R266" s="42" t="s">
        <x:v>30</x:v>
      </x:c>
      <x:c r="S266" s="43" t="s">
        <x:v>41</x:v>
      </x:c>
      <x:c r="T266" s="43" t="s">
        <x:v>1272</x:v>
      </x:c>
      <x:c r="W266" s="8" t="str">
        <x:f>+VLOOKUP($A266,'TMS- NODE'!$A$6:$N$260,6,0)</x:f>
        <x:v>107.231889912162,16.2736382189923</x:v>
      </x:c>
    </x:row>
  </x:sheetData>
  <x:mergeCells>
    <x:mergeCell ref="V5:V6"/>
    <x:mergeCell ref="W5:W6"/>
    <x:mergeCell ref="P5:P6"/>
    <x:mergeCell ref="Q5:Q6"/>
    <x:mergeCell ref="R5:R6"/>
    <x:mergeCell ref="S5:S6"/>
    <x:mergeCell ref="T5:T6"/>
    <x:mergeCell ref="U5:U6"/>
    <x:mergeCell ref="A1:V1"/>
    <x:mergeCell ref="A2:V2"/>
    <x:mergeCell ref="A5:A6"/>
    <x:mergeCell ref="B5:B6"/>
    <x:mergeCell ref="H5:I5"/>
    <x:mergeCell ref="J5:J6"/>
    <x:mergeCell ref="K5:K6"/>
    <x:mergeCell ref="L5:M5"/>
    <x:mergeCell ref="N5:N6"/>
    <x:mergeCell ref="O5:O6"/>
  </x:mergeCells>
  <x:conditionalFormatting sqref="B5:B262">
    <x:cfRule type="duplicateValues" dxfId="3" priority="1"/>
  </x:conditionalFormatting>
  <x:conditionalFormatting sqref="B263:B266">
    <x:cfRule type="duplicateValues" dxfId="2" priority="4"/>
  </x:conditionalFormatting>
  <x:conditionalFormatting sqref="H263:H266">
    <x:cfRule type="duplicateValues" dxfId="1" priority="3"/>
  </x:conditionalFormatting>
  <x:conditionalFormatting sqref="J4:J262">
    <x:cfRule type="duplicateValues" dxfId="0" priority="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17.5703125" customWidth="1"/>
    <x:col min="3" max="3" width="14.85546875" customWidth="1"/>
    <x:col min="5" max="5" width="18.42578125" customWidth="1"/>
    <x:col min="6" max="6" width="33.42578125" customWidth="1"/>
    <x:col min="7" max="7" width="30.5703125" customWidth="1"/>
    <x:col min="8" max="8" width="13.140625" customWidth="1"/>
    <x:col min="9" max="9" width="21.28515625" customWidth="1"/>
    <x:col min="10" max="10" width="15.140625" customWidth="1"/>
    <x:col min="11" max="11" width="12.85546875" customWidth="1"/>
  </x:cols>
  <x:sheetData>
    <x:row r="1" ht="38.25">
      <x:c r="A1" s="1" t="s">
        <x:v>1407</x:v>
      </x:c>
      <x:c r="B1" s="1" t="s">
        <x:v>1408</x:v>
      </x:c>
      <x:c r="C1" s="1" t="s">
        <x:v>1409</x:v>
      </x:c>
      <x:c r="D1" s="1" t="s">
        <x:v>1410</x:v>
      </x:c>
      <x:c r="E1" s="1" t="s">
        <x:v>1411</x:v>
      </x:c>
      <x:c r="F1" s="1" t="s">
        <x:v>1412</x:v>
      </x:c>
      <x:c r="G1" s="1" t="s">
        <x:v>1413</x:v>
      </x:c>
      <x:c r="H1" s="1" t="s">
        <x:v>1414</x:v>
      </x:c>
      <x:c r="I1" s="1" t="s">
        <x:v>1415</x:v>
      </x:c>
      <x:c r="J1" s="1" t="s">
        <x:v>1416</x:v>
      </x:c>
      <x:c r="K1" s="1" t="s">
        <x:v>1417</x:v>
      </x:c>
      <x:c r="L1" s="1" t="s">
        <x:v>1418</x:v>
      </x:c>
      <x:c r="M1" s="1" t="s">
        <x:v>1419</x:v>
      </x:c>
      <x:c r="N1" s="1" t="s">
        <x:v>1420</x:v>
      </x:c>
    </x:row>
    <x:row r="2" ht="140.25">
      <x:c r="A2" s="2" t="s">
        <x:v>1421</x:v>
      </x:c>
      <x:c r="B2" s="2" t="s">
        <x:v>1422</x:v>
      </x:c>
      <x:c r="C2" s="2" t="s">
        <x:v>1423</x:v>
      </x:c>
      <x:c r="D2" s="2" t="s">
        <x:v>1424</x:v>
      </x:c>
      <x:c r="E2" s="2" t="s">
        <x:v>1425</x:v>
      </x:c>
      <x:c r="F2" s="2" t="s">
        <x:v>1426</x:v>
      </x:c>
      <x:c r="G2" s="2" t="s">
        <x:v>1427</x:v>
      </x:c>
      <x:c r="H2" s="2" t="s">
        <x:v>1428</x:v>
      </x:c>
      <x:c r="I2" s="2" t="s">
        <x:v>1429</x:v>
      </x:c>
      <x:c r="J2" s="2" t="s">
        <x:v>1430</x:v>
      </x:c>
      <x:c r="K2" s="2" t="s">
        <x:v>1431</x:v>
      </x:c>
      <x:c r="L2" s="2" t="s">
        <x:v>1423</x:v>
      </x:c>
      <x:c r="M2" s="2" t="s">
        <x:v>1432</x:v>
      </x:c>
      <x:c r="N2" s="2" t="s">
        <x:v>1433</x:v>
      </x:c>
    </x:row>
    <x:row r="3" ht="126" customHeight="1">
      <x:c r="A3" s="3" t="s">
        <x:v>1434</x:v>
      </x:c>
      <x:c r="B3" s="3" t="s">
        <x:v>1435</x:v>
      </x:c>
      <x:c r="C3" s="3" t="s">
        <x:v>1436</x:v>
      </x:c>
      <x:c r="D3" s="2" t="s">
        <x:v>1437</x:v>
      </x:c>
      <x:c r="E3" s="2" t="s">
        <x:v>1437</x:v>
      </x:c>
      <x:c r="F3" s="3" t="s">
        <x:v>1435</x:v>
      </x:c>
      <x:c r="G3" s="3" t="s">
        <x:v>1435</x:v>
      </x:c>
      <x:c r="H3" s="3" t="s">
        <x:v>1438</x:v>
      </x:c>
      <x:c r="I3" s="3" t="s">
        <x:v>1438</x:v>
      </x:c>
      <x:c r="J3" s="3" t="s">
        <x:v>1438</x:v>
      </x:c>
      <x:c r="K3" s="2" t="s">
        <x:v>1439</x:v>
      </x:c>
      <x:c r="L3" s="3" t="s">
        <x:v>1440</x:v>
      </x:c>
      <x:c r="M3" s="3" t="s">
        <x:v>1438</x:v>
      </x:c>
      <x:c r="N3" s="3" t="s">
        <x:v>1441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127.5">
      <x:c r="A5" s="1" t="s">
        <x:v>1442</x:v>
      </x:c>
      <x:c r="B5" s="1" t="s">
        <x:v>1443</x:v>
      </x:c>
      <x:c r="C5" s="1" t="s">
        <x:v>1444</x:v>
      </x:c>
      <x:c r="D5" s="1" t="s">
        <x:v>1445</x:v>
      </x:c>
      <x:c r="E5" s="1" t="s">
        <x:v>1446</x:v>
      </x:c>
      <x:c r="F5" s="1" t="s">
        <x:v>21</x:v>
      </x:c>
      <x:c r="G5" s="1" t="s">
        <x:v>1447</x:v>
      </x:c>
      <x:c r="H5" s="1" t="s">
        <x:v>1448</x:v>
      </x:c>
      <x:c r="I5" s="1" t="s">
        <x:v>1449</x:v>
      </x:c>
      <x:c r="J5" s="1" t="s">
        <x:v>1450</x:v>
      </x:c>
      <x:c r="K5" s="1" t="s">
        <x:v>1451</x:v>
      </x:c>
      <x:c r="L5" s="1" t="s">
        <x:v>1452</x:v>
      </x:c>
      <x:c r="M5" s="1" t="s">
        <x:v>1453</x:v>
      </x:c>
      <x:c r="N5" s="1" t="s">
        <x:v>1454</x:v>
      </x:c>
    </x:row>
    <x:row r="6">
      <x:c r="A6" s="2" t="s">
        <x:v>26</x:v>
      </x:c>
      <x:c r="B6" s="5" t="s">
        <x:v>34</x:v>
      </x:c>
      <x:c r="C6" s="5" t="s">
        <x:v>38</x:v>
      </x:c>
      <x:c r="D6" s="5" t="s">
        <x:v>109</x:v>
      </x:c>
      <x:c r="E6" s="5" t="s">
        <x:v>37</x:v>
      </x:c>
      <x:c r="F6" s="5" t="s">
        <x:v>1455</x:v>
      </x:c>
      <x:c r="G6" s="5" t="s">
        <x:v>39</x:v>
      </x:c>
      <x:c r="H6" s="4" t="s">
        <x:v>31</x:v>
      </x:c>
      <x:c r="I6" s="5" t="s">
        <x:v>1456</x:v>
      </x:c>
      <x:c r="J6" s="5" t="s">
        <x:v>27</x:v>
      </x:c>
      <x:c r="K6" s="5" t="s">
        <x:v>40</x:v>
      </x:c>
      <x:c r="L6" s="5" t="s">
        <x:v>1457</x:v>
      </x:c>
      <x:c r="M6" s="5">
        <x:v>1</x:v>
      </x:c>
      <x:c r="N6" s="4"/>
    </x:row>
    <x:row r="7">
      <x:c r="A7" s="2" t="s">
        <x:v>43</x:v>
      </x:c>
      <x:c r="B7" s="4" t="s">
        <x:v>47</x:v>
      </x:c>
      <x:c r="C7" s="4" t="s">
        <x:v>38</x:v>
      </x:c>
      <x:c r="D7" s="4" t="s">
        <x:v>109</x:v>
      </x:c>
      <x:c r="E7" s="4" t="s">
        <x:v>50</x:v>
      </x:c>
      <x:c r="F7" s="4" t="s">
        <x:v>1458</x:v>
      </x:c>
      <x:c r="G7" s="4" t="s">
        <x:v>51</x:v>
      </x:c>
      <x:c r="H7" s="4" t="s">
        <x:v>31</x:v>
      </x:c>
      <x:c r="I7" s="5" t="s">
        <x:v>1459</x:v>
      </x:c>
      <x:c r="J7" s="4" t="s">
        <x:v>44</x:v>
      </x:c>
      <x:c r="K7" s="4" t="s">
        <x:v>40</x:v>
      </x:c>
      <x:c r="L7" s="4" t="s">
        <x:v>1457</x:v>
      </x:c>
      <x:c r="M7" s="4">
        <x:v>1</x:v>
      </x:c>
      <x:c r="N7" s="4"/>
    </x:row>
    <x:row r="8">
      <x:c r="A8" s="2" t="s">
        <x:v>52</x:v>
      </x:c>
      <x:c r="B8" s="4" t="s">
        <x:v>56</x:v>
      </x:c>
      <x:c r="C8" s="4" t="s">
        <x:v>38</x:v>
      </x:c>
      <x:c r="D8" s="4" t="s">
        <x:v>109</x:v>
      </x:c>
      <x:c r="E8" s="4" t="s">
        <x:v>59</x:v>
      </x:c>
      <x:c r="F8" s="4" t="s">
        <x:v>1460</x:v>
      </x:c>
      <x:c r="G8" s="4" t="s">
        <x:v>60</x:v>
      </x:c>
      <x:c r="H8" s="4" t="s">
        <x:v>31</x:v>
      </x:c>
      <x:c r="I8" s="5" t="s">
        <x:v>1461</x:v>
      </x:c>
      <x:c r="J8" s="4" t="s">
        <x:v>61</x:v>
      </x:c>
      <x:c r="K8" s="4" t="s">
        <x:v>40</x:v>
      </x:c>
      <x:c r="L8" s="4" t="s">
        <x:v>1457</x:v>
      </x:c>
      <x:c r="M8" s="4">
        <x:v>1</x:v>
      </x:c>
      <x:c r="N8" s="4"/>
    </x:row>
    <x:row r="9">
      <x:c r="A9" s="2" t="s">
        <x:v>62</x:v>
      </x:c>
      <x:c r="B9" s="4" t="s">
        <x:v>66</x:v>
      </x:c>
      <x:c r="C9" s="4" t="s">
        <x:v>38</x:v>
      </x:c>
      <x:c r="D9" s="4" t="s">
        <x:v>109</x:v>
      </x:c>
      <x:c r="E9" s="4" t="s">
        <x:v>69</x:v>
      </x:c>
      <x:c r="F9" s="4" t="s">
        <x:v>1462</x:v>
      </x:c>
      <x:c r="G9" s="4" t="s">
        <x:v>70</x:v>
      </x:c>
      <x:c r="H9" s="4" t="s">
        <x:v>31</x:v>
      </x:c>
      <x:c r="I9" s="5" t="s">
        <x:v>1463</x:v>
      </x:c>
      <x:c r="J9" s="4" t="s">
        <x:v>63</x:v>
      </x:c>
      <x:c r="K9" s="4" t="s">
        <x:v>40</x:v>
      </x:c>
      <x:c r="L9" s="4" t="s">
        <x:v>1457</x:v>
      </x:c>
      <x:c r="M9" s="4">
        <x:v>1</x:v>
      </x:c>
      <x:c r="N9" s="4"/>
    </x:row>
    <x:row r="10">
      <x:c r="A10" s="2" t="s">
        <x:v>71</x:v>
      </x:c>
      <x:c r="B10" s="4" t="s">
        <x:v>73</x:v>
      </x:c>
      <x:c r="C10" s="4" t="s">
        <x:v>38</x:v>
      </x:c>
      <x:c r="D10" s="4" t="s">
        <x:v>109</x:v>
      </x:c>
      <x:c r="E10" s="4" t="s">
        <x:v>76</x:v>
      </x:c>
      <x:c r="F10" s="4" t="s">
        <x:v>1464</x:v>
      </x:c>
      <x:c r="G10" s="4" t="s">
        <x:v>77</x:v>
      </x:c>
      <x:c r="H10" s="4" t="s">
        <x:v>31</x:v>
      </x:c>
      <x:c r="I10" s="5" t="s">
        <x:v>1465</x:v>
      </x:c>
      <x:c r="J10" s="4" t="s">
        <x:v>78</x:v>
      </x:c>
      <x:c r="K10" s="4" t="s">
        <x:v>40</x:v>
      </x:c>
      <x:c r="L10" s="4" t="s">
        <x:v>1457</x:v>
      </x:c>
      <x:c r="M10" s="4">
        <x:v>1</x:v>
      </x:c>
      <x:c r="N10" s="4"/>
    </x:row>
    <x:row r="11">
      <x:c r="A11" s="2" t="s">
        <x:v>79</x:v>
      </x:c>
      <x:c r="B11" s="4" t="s">
        <x:v>83</x:v>
      </x:c>
      <x:c r="C11" s="4" t="s">
        <x:v>38</x:v>
      </x:c>
      <x:c r="D11" s="4" t="s">
        <x:v>109</x:v>
      </x:c>
      <x:c r="E11" s="4" t="s">
        <x:v>76</x:v>
      </x:c>
      <x:c r="F11" s="4" t="s">
        <x:v>1466</x:v>
      </x:c>
      <x:c r="G11" s="4" t="s">
        <x:v>84</x:v>
      </x:c>
      <x:c r="H11" s="4" t="s">
        <x:v>31</x:v>
      </x:c>
      <x:c r="I11" s="5" t="s">
        <x:v>1465</x:v>
      </x:c>
      <x:c r="J11" s="4" t="s">
        <x:v>80</x:v>
      </x:c>
      <x:c r="K11" s="4" t="s">
        <x:v>40</x:v>
      </x:c>
      <x:c r="L11" s="4" t="s">
        <x:v>1457</x:v>
      </x:c>
      <x:c r="M11" s="4">
        <x:v>1</x:v>
      </x:c>
      <x:c r="N11" s="4"/>
    </x:row>
    <x:row r="12">
      <x:c r="A12" t="s">
        <x:v>85</x:v>
      </x:c>
      <x:c r="B12" t="s">
        <x:v>87</x:v>
      </x:c>
      <x:c r="C12" t="s">
        <x:v>38</x:v>
      </x:c>
      <x:c r="D12" t="s">
        <x:v>109</x:v>
      </x:c>
      <x:c r="E12" t="s">
        <x:v>76</x:v>
      </x:c>
      <x:c r="F12" t="s">
        <x:v>1467</x:v>
      </x:c>
      <x:c r="G12" t="s">
        <x:v>88</x:v>
      </x:c>
      <x:c r="H12" t="s">
        <x:v>31</x:v>
      </x:c>
      <x:c r="I12" s="5" t="s">
        <x:v>1465</x:v>
      </x:c>
      <x:c r="J12" t="s">
        <x:v>86</x:v>
      </x:c>
      <x:c r="K12" t="s">
        <x:v>40</x:v>
      </x:c>
      <x:c r="L12" t="s">
        <x:v>1457</x:v>
      </x:c>
      <x:c r="M12">
        <x:v>1</x:v>
      </x:c>
    </x:row>
    <x:row r="13">
      <x:c r="A13" t="s">
        <x:v>89</x:v>
      </x:c>
      <x:c r="B13" t="s">
        <x:v>91</x:v>
      </x:c>
      <x:c r="C13" t="s">
        <x:v>38</x:v>
      </x:c>
      <x:c r="D13" t="s">
        <x:v>109</x:v>
      </x:c>
      <x:c r="E13" t="s">
        <x:v>94</x:v>
      </x:c>
      <x:c r="F13" t="s">
        <x:v>1468</x:v>
      </x:c>
      <x:c r="G13" t="s">
        <x:v>95</x:v>
      </x:c>
      <x:c r="H13" t="s">
        <x:v>31</x:v>
      </x:c>
      <x:c r="I13" s="5" t="s">
        <x:v>1469</x:v>
      </x:c>
      <x:c r="J13" t="s">
        <x:v>96</x:v>
      </x:c>
      <x:c r="K13" t="s">
        <x:v>40</x:v>
      </x:c>
      <x:c r="L13" t="s">
        <x:v>1457</x:v>
      </x:c>
      <x:c r="M13">
        <x:v>1</x:v>
      </x:c>
    </x:row>
    <x:row r="14">
      <x:c r="A14" t="s">
        <x:v>97</x:v>
      </x:c>
      <x:c r="B14" t="s">
        <x:v>101</x:v>
      </x:c>
      <x:c r="C14" t="s">
        <x:v>38</x:v>
      </x:c>
      <x:c r="D14" t="s">
        <x:v>109</x:v>
      </x:c>
      <x:c r="E14" t="s">
        <x:v>104</x:v>
      </x:c>
      <x:c r="F14" t="s">
        <x:v>1470</x:v>
      </x:c>
      <x:c r="G14" t="s">
        <x:v>105</x:v>
      </x:c>
      <x:c r="H14" t="s">
        <x:v>31</x:v>
      </x:c>
      <x:c r="I14" s="5" t="s">
        <x:v>1471</x:v>
      </x:c>
      <x:c r="J14" t="s">
        <x:v>106</x:v>
      </x:c>
      <x:c r="K14" t="s">
        <x:v>40</x:v>
      </x:c>
      <x:c r="L14" t="s">
        <x:v>1457</x:v>
      </x:c>
      <x:c r="M14">
        <x:v>1</x:v>
      </x:c>
    </x:row>
    <x:row r="15">
      <x:c r="A15" t="s">
        <x:v>107</x:v>
      </x:c>
      <x:c r="B15" t="s">
        <x:v>109</x:v>
      </x:c>
      <x:c r="C15" t="s">
        <x:v>113</x:v>
      </x:c>
      <x:c r="D15" t="s">
        <x:v>109</x:v>
      </x:c>
      <x:c r="E15" t="s">
        <x:v>112</x:v>
      </x:c>
      <x:c r="F15" t="s">
        <x:v>1472</x:v>
      </x:c>
      <x:c r="G15" t="s">
        <x:v>114</x:v>
      </x:c>
      <x:c r="H15" t="s">
        <x:v>31</x:v>
      </x:c>
      <x:c r="I15" s="5" t="s">
        <x:v>1473</x:v>
      </x:c>
      <x:c r="J15" t="s">
        <x:v>116</x:v>
      </x:c>
      <x:c r="K15" t="s">
        <x:v>115</x:v>
      </x:c>
      <x:c r="L15" t="s">
        <x:v>1457</x:v>
      </x:c>
      <x:c r="M15">
        <x:v>1</x:v>
      </x:c>
    </x:row>
    <x:row r="16">
      <x:c r="A16" t="s">
        <x:v>118</x:v>
      </x:c>
      <x:c r="B16" t="s">
        <x:v>122</x:v>
      </x:c>
      <x:c r="C16" t="s">
        <x:v>113</x:v>
      </x:c>
      <x:c r="D16" t="s">
        <x:v>109</x:v>
      </x:c>
      <x:c r="E16" t="s">
        <x:v>125</x:v>
      </x:c>
      <x:c r="F16" t="s">
        <x:v>1474</x:v>
      </x:c>
      <x:c r="G16" t="s">
        <x:v>126</x:v>
      </x:c>
      <x:c r="H16" t="s">
        <x:v>31</x:v>
      </x:c>
      <x:c r="I16" s="5" t="s">
        <x:v>1475</x:v>
      </x:c>
      <x:c r="J16" t="s">
        <x:v>127</x:v>
      </x:c>
      <x:c r="K16" t="s">
        <x:v>115</x:v>
      </x:c>
      <x:c r="L16" t="s">
        <x:v>1457</x:v>
      </x:c>
      <x:c r="M16">
        <x:v>1</x:v>
      </x:c>
    </x:row>
    <x:row r="17">
      <x:c r="A17" t="s">
        <x:v>128</x:v>
      </x:c>
      <x:c r="B17" t="s">
        <x:v>130</x:v>
      </x:c>
      <x:c r="C17" t="s">
        <x:v>113</x:v>
      </x:c>
      <x:c r="D17" t="s">
        <x:v>109</x:v>
      </x:c>
      <x:c r="E17" t="s">
        <x:v>133</x:v>
      </x:c>
      <x:c r="F17" t="s">
        <x:v>1476</x:v>
      </x:c>
      <x:c r="G17" t="s">
        <x:v>134</x:v>
      </x:c>
      <x:c r="H17" t="s">
        <x:v>31</x:v>
      </x:c>
      <x:c r="I17" s="5" t="s">
        <x:v>1477</x:v>
      </x:c>
      <x:c r="J17" t="s">
        <x:v>135</x:v>
      </x:c>
      <x:c r="K17" t="s">
        <x:v>115</x:v>
      </x:c>
      <x:c r="L17" t="s">
        <x:v>1457</x:v>
      </x:c>
      <x:c r="M17">
        <x:v>1</x:v>
      </x:c>
    </x:row>
    <x:row r="18">
      <x:c r="A18" t="s">
        <x:v>136</x:v>
      </x:c>
      <x:c r="B18" t="s">
        <x:v>140</x:v>
      </x:c>
      <x:c r="C18" t="s">
        <x:v>113</x:v>
      </x:c>
      <x:c r="D18" t="s">
        <x:v>109</x:v>
      </x:c>
      <x:c r="E18" t="s">
        <x:v>143</x:v>
      </x:c>
      <x:c r="F18" t="s">
        <x:v>1478</x:v>
      </x:c>
      <x:c r="G18" t="s">
        <x:v>144</x:v>
      </x:c>
      <x:c r="H18" t="s">
        <x:v>31</x:v>
      </x:c>
      <x:c r="I18" s="5" t="s">
        <x:v>1479</x:v>
      </x:c>
      <x:c r="J18" t="s">
        <x:v>145</x:v>
      </x:c>
      <x:c r="K18" t="s">
        <x:v>115</x:v>
      </x:c>
      <x:c r="L18" t="s">
        <x:v>1457</x:v>
      </x:c>
      <x:c r="M18">
        <x:v>1</x:v>
      </x:c>
    </x:row>
    <x:row r="19">
      <x:c r="A19" t="s">
        <x:v>146</x:v>
      </x:c>
      <x:c r="B19" t="s">
        <x:v>150</x:v>
      </x:c>
      <x:c r="C19" t="s">
        <x:v>113</x:v>
      </x:c>
      <x:c r="D19" t="s">
        <x:v>109</x:v>
      </x:c>
      <x:c r="E19" t="s">
        <x:v>153</x:v>
      </x:c>
      <x:c r="F19" t="s">
        <x:v>1480</x:v>
      </x:c>
      <x:c r="G19" t="s">
        <x:v>154</x:v>
      </x:c>
      <x:c r="H19" t="s">
        <x:v>31</x:v>
      </x:c>
      <x:c r="I19" s="5" t="s">
        <x:v>1481</x:v>
      </x:c>
      <x:c r="J19" t="s">
        <x:v>155</x:v>
      </x:c>
      <x:c r="K19" t="s">
        <x:v>115</x:v>
      </x:c>
      <x:c r="L19" t="s">
        <x:v>1457</x:v>
      </x:c>
      <x:c r="M19">
        <x:v>1</x:v>
      </x:c>
    </x:row>
    <x:row r="20">
      <x:c r="A20" t="s">
        <x:v>156</x:v>
      </x:c>
      <x:c r="B20" t="s">
        <x:v>158</x:v>
      </x:c>
      <x:c r="C20" t="s">
        <x:v>113</x:v>
      </x:c>
      <x:c r="D20" t="s">
        <x:v>109</x:v>
      </x:c>
      <x:c r="E20" t="s">
        <x:v>50</x:v>
      </x:c>
      <x:c r="F20" t="s">
        <x:v>1482</x:v>
      </x:c>
      <x:c r="G20" t="s">
        <x:v>159</x:v>
      </x:c>
      <x:c r="H20" t="s">
        <x:v>31</x:v>
      </x:c>
      <x:c r="I20" s="5" t="s">
        <x:v>1459</x:v>
      </x:c>
      <x:c r="J20" t="s">
        <x:v>160</x:v>
      </x:c>
      <x:c r="K20" t="s">
        <x:v>115</x:v>
      </x:c>
      <x:c r="L20" t="s">
        <x:v>1457</x:v>
      </x:c>
      <x:c r="M20">
        <x:v>1</x:v>
      </x:c>
    </x:row>
    <x:row r="21">
      <x:c r="A21" t="s">
        <x:v>161</x:v>
      </x:c>
      <x:c r="B21" t="s">
        <x:v>165</x:v>
      </x:c>
      <x:c r="C21" t="s">
        <x:v>113</x:v>
      </x:c>
      <x:c r="D21" t="s">
        <x:v>109</x:v>
      </x:c>
      <x:c r="E21" t="s">
        <x:v>168</x:v>
      </x:c>
      <x:c r="F21" t="s">
        <x:v>1483</x:v>
      </x:c>
      <x:c r="G21" t="s">
        <x:v>169</x:v>
      </x:c>
      <x:c r="H21" t="s">
        <x:v>31</x:v>
      </x:c>
      <x:c r="I21" s="5" t="s">
        <x:v>1484</x:v>
      </x:c>
      <x:c r="J21" t="s">
        <x:v>170</x:v>
      </x:c>
      <x:c r="K21" t="s">
        <x:v>115</x:v>
      </x:c>
      <x:c r="L21" t="s">
        <x:v>1457</x:v>
      </x:c>
      <x:c r="M21">
        <x:v>1</x:v>
      </x:c>
    </x:row>
    <x:row r="22">
      <x:c r="A22" t="s">
        <x:v>171</x:v>
      </x:c>
      <x:c r="B22" t="s">
        <x:v>173</x:v>
      </x:c>
      <x:c r="C22" t="s">
        <x:v>113</x:v>
      </x:c>
      <x:c r="D22" t="s">
        <x:v>109</x:v>
      </x:c>
      <x:c r="E22" t="s">
        <x:v>176</x:v>
      </x:c>
      <x:c r="F22" t="s">
        <x:v>1485</x:v>
      </x:c>
      <x:c r="G22" t="s">
        <x:v>177</x:v>
      </x:c>
      <x:c r="H22" t="s">
        <x:v>31</x:v>
      </x:c>
      <x:c r="I22" s="5" t="s">
        <x:v>1486</x:v>
      </x:c>
      <x:c r="J22" t="s">
        <x:v>178</x:v>
      </x:c>
      <x:c r="K22" t="s">
        <x:v>115</x:v>
      </x:c>
      <x:c r="L22" t="s">
        <x:v>1457</x:v>
      </x:c>
      <x:c r="M22">
        <x:v>1</x:v>
      </x:c>
    </x:row>
    <x:row r="23">
      <x:c r="A23" t="s">
        <x:v>179</x:v>
      </x:c>
      <x:c r="B23" t="s">
        <x:v>181</x:v>
      </x:c>
      <x:c r="C23" t="s">
        <x:v>113</x:v>
      </x:c>
      <x:c r="D23" t="s">
        <x:v>109</x:v>
      </x:c>
      <x:c r="E23" t="s">
        <x:v>184</x:v>
      </x:c>
      <x:c r="F23" t="s">
        <x:v>1487</x:v>
      </x:c>
      <x:c r="G23" t="s">
        <x:v>185</x:v>
      </x:c>
      <x:c r="H23" t="s">
        <x:v>31</x:v>
      </x:c>
      <x:c r="I23" s="5" t="s">
        <x:v>1488</x:v>
      </x:c>
      <x:c r="J23" t="s">
        <x:v>186</x:v>
      </x:c>
      <x:c r="K23" t="s">
        <x:v>115</x:v>
      </x:c>
      <x:c r="L23" t="s">
        <x:v>1457</x:v>
      </x:c>
      <x:c r="M23">
        <x:v>1</x:v>
      </x:c>
    </x:row>
    <x:row r="24">
      <x:c r="A24" t="s">
        <x:v>187</x:v>
      </x:c>
      <x:c r="B24" t="s">
        <x:v>189</x:v>
      </x:c>
      <x:c r="C24" t="s">
        <x:v>113</x:v>
      </x:c>
      <x:c r="D24" t="s">
        <x:v>109</x:v>
      </x:c>
      <x:c r="E24" t="s">
        <x:v>112</x:v>
      </x:c>
      <x:c r="F24" t="s">
        <x:v>1489</x:v>
      </x:c>
      <x:c r="G24" t="s">
        <x:v>190</x:v>
      </x:c>
      <x:c r="H24" t="s">
        <x:v>31</x:v>
      </x:c>
      <x:c r="I24" s="5" t="s">
        <x:v>1490</x:v>
      </x:c>
      <x:c r="J24" t="s">
        <x:v>191</x:v>
      </x:c>
      <x:c r="K24" t="s">
        <x:v>115</x:v>
      </x:c>
      <x:c r="L24" t="s">
        <x:v>1457</x:v>
      </x:c>
      <x:c r="M24">
        <x:v>1</x:v>
      </x:c>
    </x:row>
    <x:row r="25">
      <x:c r="A25" t="s">
        <x:v>192</x:v>
      </x:c>
      <x:c r="B25" t="s">
        <x:v>196</x:v>
      </x:c>
      <x:c r="C25" t="s">
        <x:v>113</x:v>
      </x:c>
      <x:c r="D25" t="s">
        <x:v>109</x:v>
      </x:c>
      <x:c r="E25" t="s">
        <x:v>112</x:v>
      </x:c>
      <x:c r="F25" t="s">
        <x:v>1491</x:v>
      </x:c>
      <x:c r="G25" t="s">
        <x:v>197</x:v>
      </x:c>
      <x:c r="H25" t="s">
        <x:v>31</x:v>
      </x:c>
      <x:c r="I25" s="5" t="s">
        <x:v>1490</x:v>
      </x:c>
      <x:c r="J25" t="s">
        <x:v>198</x:v>
      </x:c>
      <x:c r="K25" t="s">
        <x:v>115</x:v>
      </x:c>
      <x:c r="L25" t="s">
        <x:v>1457</x:v>
      </x:c>
      <x:c r="M25">
        <x:v>1</x:v>
      </x:c>
    </x:row>
    <x:row r="26">
      <x:c r="A26" t="s">
        <x:v>199</x:v>
      </x:c>
      <x:c r="B26" t="s">
        <x:v>203</x:v>
      </x:c>
      <x:c r="C26" t="s">
        <x:v>113</x:v>
      </x:c>
      <x:c r="D26" t="s">
        <x:v>109</x:v>
      </x:c>
      <x:c r="E26" t="s">
        <x:v>94</x:v>
      </x:c>
      <x:c r="F26" t="s">
        <x:v>1492</x:v>
      </x:c>
      <x:c r="G26" t="s">
        <x:v>204</x:v>
      </x:c>
      <x:c r="H26" t="s">
        <x:v>31</x:v>
      </x:c>
      <x:c r="I26" s="5" t="s">
        <x:v>1469</x:v>
      </x:c>
      <x:c r="J26" t="s">
        <x:v>205</x:v>
      </x:c>
      <x:c r="K26" t="s">
        <x:v>115</x:v>
      </x:c>
      <x:c r="L26" t="s">
        <x:v>1457</x:v>
      </x:c>
      <x:c r="M26">
        <x:v>1</x:v>
      </x:c>
    </x:row>
    <x:row r="27">
      <x:c r="A27" t="s">
        <x:v>206</x:v>
      </x:c>
      <x:c r="B27" t="s">
        <x:v>208</x:v>
      </x:c>
      <x:c r="C27" t="s">
        <x:v>113</x:v>
      </x:c>
      <x:c r="D27" t="s">
        <x:v>109</x:v>
      </x:c>
      <x:c r="E27" t="s">
        <x:v>94</x:v>
      </x:c>
      <x:c r="F27" t="s">
        <x:v>1493</x:v>
      </x:c>
      <x:c r="G27" t="s">
        <x:v>209</x:v>
      </x:c>
      <x:c r="H27" t="s">
        <x:v>31</x:v>
      </x:c>
      <x:c r="I27" s="5" t="s">
        <x:v>1469</x:v>
      </x:c>
      <x:c r="J27" t="s">
        <x:v>210</x:v>
      </x:c>
      <x:c r="K27" t="s">
        <x:v>115</x:v>
      </x:c>
      <x:c r="L27" t="s">
        <x:v>1457</x:v>
      </x:c>
      <x:c r="M27">
        <x:v>1</x:v>
      </x:c>
    </x:row>
    <x:row r="28">
      <x:c r="A28" t="s">
        <x:v>211</x:v>
      </x:c>
      <x:c r="B28" t="s">
        <x:v>213</x:v>
      </x:c>
      <x:c r="C28" t="s">
        <x:v>113</x:v>
      </x:c>
      <x:c r="D28" t="s">
        <x:v>109</x:v>
      </x:c>
      <x:c r="E28" t="s">
        <x:v>94</x:v>
      </x:c>
      <x:c r="F28" t="s">
        <x:v>1494</x:v>
      </x:c>
      <x:c r="G28" t="s">
        <x:v>214</x:v>
      </x:c>
      <x:c r="H28" t="s">
        <x:v>31</x:v>
      </x:c>
      <x:c r="I28" s="5" t="s">
        <x:v>1469</x:v>
      </x:c>
      <x:c r="J28" t="s">
        <x:v>215</x:v>
      </x:c>
      <x:c r="K28" t="s">
        <x:v>115</x:v>
      </x:c>
      <x:c r="L28" t="s">
        <x:v>1457</x:v>
      </x:c>
      <x:c r="M28">
        <x:v>1</x:v>
      </x:c>
    </x:row>
    <x:row r="29">
      <x:c r="A29" t="s">
        <x:v>216</x:v>
      </x:c>
      <x:c r="B29" t="s">
        <x:v>220</x:v>
      </x:c>
      <x:c r="C29" t="s">
        <x:v>113</x:v>
      </x:c>
      <x:c r="D29" t="s">
        <x:v>109</x:v>
      </x:c>
      <x:c r="E29" t="s">
        <x:v>223</x:v>
      </x:c>
      <x:c r="F29" t="s">
        <x:v>1495</x:v>
      </x:c>
      <x:c r="G29" t="s">
        <x:v>224</x:v>
      </x:c>
      <x:c r="H29" t="s">
        <x:v>31</x:v>
      </x:c>
      <x:c r="I29" s="5" t="s">
        <x:v>1496</x:v>
      </x:c>
      <x:c r="J29" t="s">
        <x:v>225</x:v>
      </x:c>
      <x:c r="K29" t="s">
        <x:v>115</x:v>
      </x:c>
      <x:c r="L29" t="s">
        <x:v>1457</x:v>
      </x:c>
      <x:c r="M29">
        <x:v>1</x:v>
      </x:c>
    </x:row>
    <x:row r="30">
      <x:c r="A30" t="s">
        <x:v>226</x:v>
      </x:c>
      <x:c r="B30" t="s">
        <x:v>230</x:v>
      </x:c>
      <x:c r="C30" t="s">
        <x:v>113</x:v>
      </x:c>
      <x:c r="D30" t="s">
        <x:v>109</x:v>
      </x:c>
      <x:c r="E30" t="s">
        <x:v>233</x:v>
      </x:c>
      <x:c r="F30" t="s">
        <x:v>1497</x:v>
      </x:c>
      <x:c r="G30" t="s">
        <x:v>234</x:v>
      </x:c>
      <x:c r="H30" t="s">
        <x:v>31</x:v>
      </x:c>
      <x:c r="I30" s="5" t="s">
        <x:v>1498</x:v>
      </x:c>
      <x:c r="J30" t="s">
        <x:v>235</x:v>
      </x:c>
      <x:c r="K30" t="s">
        <x:v>115</x:v>
      </x:c>
      <x:c r="L30" t="s">
        <x:v>1457</x:v>
      </x:c>
      <x:c r="M30">
        <x:v>1</x:v>
      </x:c>
    </x:row>
    <x:row r="31">
      <x:c r="A31" t="s">
        <x:v>236</x:v>
      </x:c>
      <x:c r="B31" t="s">
        <x:v>240</x:v>
      </x:c>
      <x:c r="C31" t="s">
        <x:v>113</x:v>
      </x:c>
      <x:c r="D31" t="s">
        <x:v>109</x:v>
      </x:c>
      <x:c r="E31" t="s">
        <x:v>37</x:v>
      </x:c>
      <x:c r="F31" t="s">
        <x:v>1499</x:v>
      </x:c>
      <x:c r="G31" t="s">
        <x:v>241</x:v>
      </x:c>
      <x:c r="H31" t="s">
        <x:v>31</x:v>
      </x:c>
      <x:c r="I31" s="5" t="s">
        <x:v>1500</x:v>
      </x:c>
      <x:c r="J31" t="s">
        <x:v>242</x:v>
      </x:c>
      <x:c r="K31" t="s">
        <x:v>115</x:v>
      </x:c>
      <x:c r="L31" t="s">
        <x:v>1457</x:v>
      </x:c>
      <x:c r="M31">
        <x:v>1</x:v>
      </x:c>
    </x:row>
    <x:row r="32">
      <x:c r="A32" t="s">
        <x:v>243</x:v>
      </x:c>
      <x:c r="B32" t="s">
        <x:v>247</x:v>
      </x:c>
      <x:c r="C32" t="s">
        <x:v>113</x:v>
      </x:c>
      <x:c r="D32" t="s">
        <x:v>109</x:v>
      </x:c>
      <x:c r="E32" t="s">
        <x:v>250</x:v>
      </x:c>
      <x:c r="F32" t="s">
        <x:v>1501</x:v>
      </x:c>
      <x:c r="G32" t="s">
        <x:v>251</x:v>
      </x:c>
      <x:c r="H32" t="s">
        <x:v>31</x:v>
      </x:c>
      <x:c r="I32" s="5" t="s">
        <x:v>1502</x:v>
      </x:c>
      <x:c r="J32" t="s">
        <x:v>252</x:v>
      </x:c>
      <x:c r="K32" t="s">
        <x:v>115</x:v>
      </x:c>
      <x:c r="L32" t="s">
        <x:v>1457</x:v>
      </x:c>
      <x:c r="M32">
        <x:v>1</x:v>
      </x:c>
    </x:row>
    <x:row r="33">
      <x:c r="A33" t="s">
        <x:v>253</x:v>
      </x:c>
      <x:c r="B33" t="s">
        <x:v>255</x:v>
      </x:c>
      <x:c r="C33" t="s">
        <x:v>113</x:v>
      </x:c>
      <x:c r="D33" t="s">
        <x:v>109</x:v>
      </x:c>
      <x:c r="E33" t="s">
        <x:v>133</x:v>
      </x:c>
      <x:c r="F33" t="s">
        <x:v>1503</x:v>
      </x:c>
      <x:c r="G33" t="s">
        <x:v>256</x:v>
      </x:c>
      <x:c r="H33" t="s">
        <x:v>31</x:v>
      </x:c>
      <x:c r="I33" s="5" t="s">
        <x:v>1477</x:v>
      </x:c>
      <x:c r="J33" t="s">
        <x:v>257</x:v>
      </x:c>
      <x:c r="K33" t="s">
        <x:v>115</x:v>
      </x:c>
      <x:c r="L33" t="s">
        <x:v>1457</x:v>
      </x:c>
      <x:c r="M33">
        <x:v>1</x:v>
      </x:c>
    </x:row>
    <x:row r="34">
      <x:c r="A34" t="s">
        <x:v>258</x:v>
      </x:c>
      <x:c r="B34" t="s">
        <x:v>262</x:v>
      </x:c>
      <x:c r="C34" t="s">
        <x:v>113</x:v>
      </x:c>
      <x:c r="D34" t="s">
        <x:v>109</x:v>
      </x:c>
      <x:c r="E34" t="s">
        <x:v>265</x:v>
      </x:c>
      <x:c r="F34" t="s">
        <x:v>1504</x:v>
      </x:c>
      <x:c r="G34" t="s">
        <x:v>266</x:v>
      </x:c>
      <x:c r="H34" t="s">
        <x:v>31</x:v>
      </x:c>
      <x:c r="I34" s="5" t="s">
        <x:v>1505</x:v>
      </x:c>
      <x:c r="J34" t="s">
        <x:v>267</x:v>
      </x:c>
      <x:c r="K34" t="s">
        <x:v>115</x:v>
      </x:c>
      <x:c r="L34" t="s">
        <x:v>1457</x:v>
      </x:c>
      <x:c r="M34">
        <x:v>1</x:v>
      </x:c>
    </x:row>
    <x:row r="35">
      <x:c r="A35" t="s">
        <x:v>268</x:v>
      </x:c>
      <x:c r="B35" t="s">
        <x:v>272</x:v>
      </x:c>
      <x:c r="C35" t="s">
        <x:v>113</x:v>
      </x:c>
      <x:c r="D35" t="s">
        <x:v>109</x:v>
      </x:c>
      <x:c r="E35" t="s">
        <x:v>275</x:v>
      </x:c>
      <x:c r="F35" t="s">
        <x:v>1506</x:v>
      </x:c>
      <x:c r="G35" t="s">
        <x:v>276</x:v>
      </x:c>
      <x:c r="H35" t="s">
        <x:v>31</x:v>
      </x:c>
      <x:c r="I35" s="5" t="s">
        <x:v>1507</x:v>
      </x:c>
      <x:c r="J35" t="s">
        <x:v>277</x:v>
      </x:c>
      <x:c r="K35" t="s">
        <x:v>115</x:v>
      </x:c>
      <x:c r="L35" t="s">
        <x:v>1457</x:v>
      </x:c>
      <x:c r="M35">
        <x:v>1</x:v>
      </x:c>
    </x:row>
    <x:row r="36">
      <x:c r="A36" t="s">
        <x:v>278</x:v>
      </x:c>
      <x:c r="B36" t="s">
        <x:v>282</x:v>
      </x:c>
      <x:c r="C36" t="s">
        <x:v>113</x:v>
      </x:c>
      <x:c r="D36" t="s">
        <x:v>109</x:v>
      </x:c>
      <x:c r="E36" t="s">
        <x:v>285</x:v>
      </x:c>
      <x:c r="F36" t="s">
        <x:v>1508</x:v>
      </x:c>
      <x:c r="G36" t="s">
        <x:v>286</x:v>
      </x:c>
      <x:c r="H36" t="s">
        <x:v>31</x:v>
      </x:c>
      <x:c r="I36" s="5" t="s">
        <x:v>1509</x:v>
      </x:c>
      <x:c r="J36" t="s">
        <x:v>287</x:v>
      </x:c>
      <x:c r="K36" t="s">
        <x:v>115</x:v>
      </x:c>
      <x:c r="L36" t="s">
        <x:v>1457</x:v>
      </x:c>
      <x:c r="M36">
        <x:v>1</x:v>
      </x:c>
    </x:row>
    <x:row r="37">
      <x:c r="A37" t="s">
        <x:v>288</x:v>
      </x:c>
      <x:c r="B37" t="s">
        <x:v>292</x:v>
      </x:c>
      <x:c r="C37" t="s">
        <x:v>113</x:v>
      </x:c>
      <x:c r="D37" t="s">
        <x:v>109</x:v>
      </x:c>
      <x:c r="E37" t="s">
        <x:v>295</x:v>
      </x:c>
      <x:c r="F37" t="s">
        <x:v>1510</x:v>
      </x:c>
      <x:c r="G37" t="s">
        <x:v>296</x:v>
      </x:c>
      <x:c r="H37" t="s">
        <x:v>31</x:v>
      </x:c>
      <x:c r="I37" s="5" t="s">
        <x:v>1511</x:v>
      </x:c>
      <x:c r="J37" t="s">
        <x:v>297</x:v>
      </x:c>
      <x:c r="K37" t="s">
        <x:v>115</x:v>
      </x:c>
      <x:c r="L37" t="s">
        <x:v>1457</x:v>
      </x:c>
      <x:c r="M37">
        <x:v>1</x:v>
      </x:c>
    </x:row>
    <x:row r="38">
      <x:c r="A38" t="s">
        <x:v>298</x:v>
      </x:c>
      <x:c r="B38" t="s">
        <x:v>302</x:v>
      </x:c>
      <x:c r="C38" t="s">
        <x:v>113</x:v>
      </x:c>
      <x:c r="D38" t="s">
        <x:v>109</x:v>
      </x:c>
      <x:c r="E38" t="s">
        <x:v>305</x:v>
      </x:c>
      <x:c r="F38" t="s">
        <x:v>1512</x:v>
      </x:c>
      <x:c r="G38" t="s">
        <x:v>306</x:v>
      </x:c>
      <x:c r="H38" t="s">
        <x:v>31</x:v>
      </x:c>
      <x:c r="I38" s="5" t="s">
        <x:v>1513</x:v>
      </x:c>
      <x:c r="J38" t="s">
        <x:v>307</x:v>
      </x:c>
      <x:c r="K38" t="s">
        <x:v>115</x:v>
      </x:c>
      <x:c r="L38" t="s">
        <x:v>1457</x:v>
      </x:c>
      <x:c r="M38">
        <x:v>1</x:v>
      </x:c>
    </x:row>
    <x:row r="39">
      <x:c r="A39" t="s">
        <x:v>308</x:v>
      </x:c>
      <x:c r="B39" t="s">
        <x:v>310</x:v>
      </x:c>
      <x:c r="C39" t="s">
        <x:v>113</x:v>
      </x:c>
      <x:c r="D39" t="s">
        <x:v>109</x:v>
      </x:c>
      <x:c r="E39" t="s">
        <x:v>305</x:v>
      </x:c>
      <x:c r="F39" t="s">
        <x:v>1514</x:v>
      </x:c>
      <x:c r="G39" t="s">
        <x:v>311</x:v>
      </x:c>
      <x:c r="H39" t="s">
        <x:v>31</x:v>
      </x:c>
      <x:c r="I39" s="5" t="s">
        <x:v>1515</x:v>
      </x:c>
      <x:c r="J39" t="s">
        <x:v>312</x:v>
      </x:c>
      <x:c r="K39" t="s">
        <x:v>115</x:v>
      </x:c>
      <x:c r="L39" t="s">
        <x:v>1457</x:v>
      </x:c>
      <x:c r="M39">
        <x:v>1</x:v>
      </x:c>
    </x:row>
    <x:row r="40">
      <x:c r="A40" t="s">
        <x:v>313</x:v>
      </x:c>
      <x:c r="B40" t="s">
        <x:v>317</x:v>
      </x:c>
      <x:c r="C40" t="s">
        <x:v>113</x:v>
      </x:c>
      <x:c r="D40" t="s">
        <x:v>109</x:v>
      </x:c>
      <x:c r="E40" t="s">
        <x:v>59</x:v>
      </x:c>
      <x:c r="F40" t="s">
        <x:v>1516</x:v>
      </x:c>
      <x:c r="G40" t="s">
        <x:v>318</x:v>
      </x:c>
      <x:c r="H40" t="s">
        <x:v>31</x:v>
      </x:c>
      <x:c r="I40" s="5" t="s">
        <x:v>1461</x:v>
      </x:c>
      <x:c r="J40" t="s">
        <x:v>319</x:v>
      </x:c>
      <x:c r="K40" t="s">
        <x:v>115</x:v>
      </x:c>
      <x:c r="L40" t="s">
        <x:v>1457</x:v>
      </x:c>
      <x:c r="M40">
        <x:v>1</x:v>
      </x:c>
    </x:row>
    <x:row r="41">
      <x:c r="A41" t="s">
        <x:v>320</x:v>
      </x:c>
      <x:c r="B41" t="s">
        <x:v>322</x:v>
      </x:c>
      <x:c r="C41" t="s">
        <x:v>113</x:v>
      </x:c>
      <x:c r="D41" t="s">
        <x:v>109</x:v>
      </x:c>
      <x:c r="E41" t="s">
        <x:v>176</x:v>
      </x:c>
      <x:c r="F41" t="s">
        <x:v>1517</x:v>
      </x:c>
      <x:c r="G41" t="s">
        <x:v>323</x:v>
      </x:c>
      <x:c r="H41" t="s">
        <x:v>31</x:v>
      </x:c>
      <x:c r="I41" s="5" t="s">
        <x:v>1486</x:v>
      </x:c>
      <x:c r="J41" t="s">
        <x:v>324</x:v>
      </x:c>
      <x:c r="K41" t="s">
        <x:v>115</x:v>
      </x:c>
      <x:c r="L41" t="s">
        <x:v>1457</x:v>
      </x:c>
      <x:c r="M41">
        <x:v>1</x:v>
      </x:c>
    </x:row>
    <x:row r="42">
      <x:c r="A42" t="s">
        <x:v>325</x:v>
      </x:c>
      <x:c r="B42" t="s">
        <x:v>329</x:v>
      </x:c>
      <x:c r="C42" t="s">
        <x:v>113</x:v>
      </x:c>
      <x:c r="D42" t="s">
        <x:v>109</x:v>
      </x:c>
      <x:c r="E42" t="s">
        <x:v>332</x:v>
      </x:c>
      <x:c r="F42" t="s">
        <x:v>1518</x:v>
      </x:c>
      <x:c r="G42" t="s">
        <x:v>333</x:v>
      </x:c>
      <x:c r="H42" t="s">
        <x:v>31</x:v>
      </x:c>
      <x:c r="I42" s="5" t="s">
        <x:v>1519</x:v>
      </x:c>
      <x:c r="J42" t="s">
        <x:v>334</x:v>
      </x:c>
      <x:c r="K42" t="s">
        <x:v>115</x:v>
      </x:c>
      <x:c r="L42" t="s">
        <x:v>1457</x:v>
      </x:c>
      <x:c r="M42">
        <x:v>1</x:v>
      </x:c>
    </x:row>
    <x:row r="43">
      <x:c r="A43" t="s">
        <x:v>335</x:v>
      </x:c>
      <x:c r="B43" t="s">
        <x:v>337</x:v>
      </x:c>
      <x:c r="C43" t="s">
        <x:v>113</x:v>
      </x:c>
      <x:c r="D43" t="s">
        <x:v>109</x:v>
      </x:c>
      <x:c r="E43" t="s">
        <x:v>332</x:v>
      </x:c>
      <x:c r="F43" t="s">
        <x:v>1520</x:v>
      </x:c>
      <x:c r="G43" t="s">
        <x:v>338</x:v>
      </x:c>
      <x:c r="H43" t="s">
        <x:v>31</x:v>
      </x:c>
      <x:c r="I43" s="5" t="s">
        <x:v>1519</x:v>
      </x:c>
      <x:c r="J43" t="s">
        <x:v>339</x:v>
      </x:c>
      <x:c r="K43" t="s">
        <x:v>115</x:v>
      </x:c>
      <x:c r="L43" t="s">
        <x:v>1457</x:v>
      </x:c>
      <x:c r="M43">
        <x:v>1</x:v>
      </x:c>
    </x:row>
    <x:row r="44">
      <x:c r="A44" t="s">
        <x:v>340</x:v>
      </x:c>
      <x:c r="B44" t="s">
        <x:v>344</x:v>
      </x:c>
      <x:c r="C44" t="s">
        <x:v>113</x:v>
      </x:c>
      <x:c r="D44" t="s">
        <x:v>109</x:v>
      </x:c>
      <x:c r="E44" t="s">
        <x:v>347</x:v>
      </x:c>
      <x:c r="F44" t="s">
        <x:v>1521</x:v>
      </x:c>
      <x:c r="G44" t="s">
        <x:v>348</x:v>
      </x:c>
      <x:c r="H44" t="s">
        <x:v>31</x:v>
      </x:c>
      <x:c r="I44" s="5" t="s">
        <x:v>1522</x:v>
      </x:c>
      <x:c r="J44" t="s">
        <x:v>349</x:v>
      </x:c>
      <x:c r="K44" t="s">
        <x:v>115</x:v>
      </x:c>
      <x:c r="L44" t="s">
        <x:v>1457</x:v>
      </x:c>
      <x:c r="M44">
        <x:v>1</x:v>
      </x:c>
    </x:row>
    <x:row r="45">
      <x:c r="A45" t="s">
        <x:v>350</x:v>
      </x:c>
      <x:c r="B45" t="s">
        <x:v>354</x:v>
      </x:c>
      <x:c r="C45" t="s">
        <x:v>113</x:v>
      </x:c>
      <x:c r="D45" t="s">
        <x:v>109</x:v>
      </x:c>
      <x:c r="E45" t="s">
        <x:v>104</x:v>
      </x:c>
      <x:c r="F45" t="s">
        <x:v>1523</x:v>
      </x:c>
      <x:c r="G45" t="s">
        <x:v>355</x:v>
      </x:c>
      <x:c r="H45" t="s">
        <x:v>31</x:v>
      </x:c>
      <x:c r="I45" s="5" t="s">
        <x:v>1522</x:v>
      </x:c>
      <x:c r="J45" t="s">
        <x:v>356</x:v>
      </x:c>
      <x:c r="K45" t="s">
        <x:v>115</x:v>
      </x:c>
      <x:c r="L45" t="s">
        <x:v>1457</x:v>
      </x:c>
      <x:c r="M45">
        <x:v>1</x:v>
      </x:c>
    </x:row>
    <x:row r="46">
      <x:c r="A46" t="s">
        <x:v>357</x:v>
      </x:c>
      <x:c r="B46" t="s">
        <x:v>359</x:v>
      </x:c>
      <x:c r="C46" t="s">
        <x:v>113</x:v>
      </x:c>
      <x:c r="D46" t="s">
        <x:v>109</x:v>
      </x:c>
      <x:c r="E46" t="s">
        <x:v>104</x:v>
      </x:c>
      <x:c r="F46" t="s">
        <x:v>1524</x:v>
      </x:c>
      <x:c r="G46" t="s">
        <x:v>360</x:v>
      </x:c>
      <x:c r="H46" t="s">
        <x:v>31</x:v>
      </x:c>
      <x:c r="I46" s="5" t="s">
        <x:v>1522</x:v>
      </x:c>
      <x:c r="J46" t="s">
        <x:v>361</x:v>
      </x:c>
      <x:c r="K46" t="s">
        <x:v>115</x:v>
      </x:c>
      <x:c r="L46" t="s">
        <x:v>1457</x:v>
      </x:c>
      <x:c r="M46">
        <x:v>1</x:v>
      </x:c>
    </x:row>
    <x:row r="47">
      <x:c r="A47" t="s">
        <x:v>362</x:v>
      </x:c>
      <x:c r="B47" t="s">
        <x:v>366</x:v>
      </x:c>
      <x:c r="C47" t="s">
        <x:v>113</x:v>
      </x:c>
      <x:c r="D47" t="s">
        <x:v>109</x:v>
      </x:c>
      <x:c r="E47" t="s">
        <x:v>369</x:v>
      </x:c>
      <x:c r="F47" t="s">
        <x:v>1525</x:v>
      </x:c>
      <x:c r="G47" t="s">
        <x:v>370</x:v>
      </x:c>
      <x:c r="H47" t="s">
        <x:v>31</x:v>
      </x:c>
      <x:c r="I47" s="5" t="s">
        <x:v>1526</x:v>
      </x:c>
      <x:c r="J47" t="s">
        <x:v>371</x:v>
      </x:c>
      <x:c r="K47" t="s">
        <x:v>115</x:v>
      </x:c>
      <x:c r="L47" t="s">
        <x:v>1457</x:v>
      </x:c>
      <x:c r="M47">
        <x:v>1</x:v>
      </x:c>
    </x:row>
    <x:row r="48">
      <x:c r="A48" t="s">
        <x:v>372</x:v>
      </x:c>
      <x:c r="B48" t="s">
        <x:v>374</x:v>
      </x:c>
      <x:c r="C48" t="s">
        <x:v>113</x:v>
      </x:c>
      <x:c r="D48" t="s">
        <x:v>109</x:v>
      </x:c>
      <x:c r="E48" t="s">
        <x:v>347</x:v>
      </x:c>
      <x:c r="F48" t="s">
        <x:v>1527</x:v>
      </x:c>
      <x:c r="G48" t="s">
        <x:v>375</x:v>
      </x:c>
      <x:c r="H48" t="s">
        <x:v>31</x:v>
      </x:c>
      <x:c r="I48" s="5" t="s">
        <x:v>1528</x:v>
      </x:c>
      <x:c r="J48" t="s">
        <x:v>376</x:v>
      </x:c>
      <x:c r="K48" t="s">
        <x:v>115</x:v>
      </x:c>
      <x:c r="L48" t="s">
        <x:v>1457</x:v>
      </x:c>
      <x:c r="M48">
        <x:v>1</x:v>
      </x:c>
    </x:row>
    <x:row r="49">
      <x:c r="A49" t="s">
        <x:v>377</x:v>
      </x:c>
      <x:c r="B49" t="s">
        <x:v>379</x:v>
      </x:c>
      <x:c r="C49" t="s">
        <x:v>113</x:v>
      </x:c>
      <x:c r="D49" t="s">
        <x:v>109</x:v>
      </x:c>
      <x:c r="E49" t="s">
        <x:v>347</x:v>
      </x:c>
      <x:c r="F49" t="s">
        <x:v>1529</x:v>
      </x:c>
      <x:c r="G49" t="s">
        <x:v>380</x:v>
      </x:c>
      <x:c r="H49" t="s">
        <x:v>31</x:v>
      </x:c>
      <x:c r="I49" s="5" t="s">
        <x:v>1528</x:v>
      </x:c>
      <x:c r="J49" t="s">
        <x:v>381</x:v>
      </x:c>
      <x:c r="K49" t="s">
        <x:v>115</x:v>
      </x:c>
      <x:c r="L49" t="s">
        <x:v>1457</x:v>
      </x:c>
      <x:c r="M49">
        <x:v>1</x:v>
      </x:c>
    </x:row>
    <x:row r="50">
      <x:c r="A50" t="s">
        <x:v>382</x:v>
      </x:c>
      <x:c r="B50" t="s">
        <x:v>386</x:v>
      </x:c>
      <x:c r="C50" t="s">
        <x:v>387</x:v>
      </x:c>
      <x:c r="D50" t="s">
        <x:v>109</x:v>
      </x:c>
      <x:c r="E50" t="s">
        <x:v>50</x:v>
      </x:c>
      <x:c r="F50" t="s">
        <x:v>1530</x:v>
      </x:c>
      <x:c r="G50" t="s">
        <x:v>388</x:v>
      </x:c>
      <x:c r="H50" t="s">
        <x:v>31</x:v>
      </x:c>
      <x:c r="I50" s="5" t="s">
        <x:v>1531</x:v>
      </x:c>
      <x:c r="J50" t="s">
        <x:v>389</x:v>
      </x:c>
      <x:c r="K50" t="s">
        <x:v>40</x:v>
      </x:c>
      <x:c r="L50" t="s">
        <x:v>1457</x:v>
      </x:c>
      <x:c r="M50">
        <x:v>1</x:v>
      </x:c>
    </x:row>
    <x:row r="51">
      <x:c r="A51" t="s">
        <x:v>391</x:v>
      </x:c>
      <x:c r="B51" t="s">
        <x:v>395</x:v>
      </x:c>
      <x:c r="C51" t="s">
        <x:v>113</x:v>
      </x:c>
      <x:c r="D51" t="s">
        <x:v>109</x:v>
      </x:c>
      <x:c r="E51" t="s">
        <x:v>112</x:v>
      </x:c>
      <x:c r="F51" t="s">
        <x:v>1532</x:v>
      </x:c>
      <x:c r="G51" t="s">
        <x:v>396</x:v>
      </x:c>
      <x:c r="H51" t="s">
        <x:v>31</x:v>
      </x:c>
      <x:c r="I51" s="5" t="s">
        <x:v>1473</x:v>
      </x:c>
      <x:c r="J51" t="s">
        <x:v>392</x:v>
      </x:c>
      <x:c r="K51" t="s">
        <x:v>40</x:v>
      </x:c>
      <x:c r="L51" t="s">
        <x:v>1457</x:v>
      </x:c>
      <x:c r="M51">
        <x:v>1</x:v>
      </x:c>
    </x:row>
    <x:row r="52">
      <x:c r="A52" t="s">
        <x:v>397</x:v>
      </x:c>
      <x:c r="B52" t="s">
        <x:v>399</x:v>
      </x:c>
      <x:c r="C52" t="s">
        <x:v>113</x:v>
      </x:c>
      <x:c r="D52" t="s">
        <x:v>109</x:v>
      </x:c>
      <x:c r="E52" t="s">
        <x:v>112</x:v>
      </x:c>
      <x:c r="F52" t="s">
        <x:v>1533</x:v>
      </x:c>
      <x:c r="G52" t="s">
        <x:v>400</x:v>
      </x:c>
      <x:c r="H52" t="s">
        <x:v>31</x:v>
      </x:c>
      <x:c r="I52" s="5" t="s">
        <x:v>1473</x:v>
      </x:c>
      <x:c r="J52" t="s">
        <x:v>401</x:v>
      </x:c>
      <x:c r="K52" t="s">
        <x:v>40</x:v>
      </x:c>
      <x:c r="L52" t="s">
        <x:v>1457</x:v>
      </x:c>
      <x:c r="M52">
        <x:v>1</x:v>
      </x:c>
    </x:row>
    <x:row r="53">
      <x:c r="A53" t="s">
        <x:v>402</x:v>
      </x:c>
      <x:c r="B53" t="s">
        <x:v>405</x:v>
      </x:c>
      <x:c r="C53" t="s">
        <x:v>113</x:v>
      </x:c>
      <x:c r="D53" t="s">
        <x:v>109</x:v>
      </x:c>
      <x:c r="E53" t="s">
        <x:v>112</x:v>
      </x:c>
      <x:c r="F53" t="s">
        <x:v>1491</x:v>
      </x:c>
      <x:c r="G53" t="s">
        <x:v>197</x:v>
      </x:c>
      <x:c r="H53" t="s">
        <x:v>31</x:v>
      </x:c>
      <x:c r="I53" s="5" t="s">
        <x:v>1473</x:v>
      </x:c>
      <x:c r="J53" t="s">
        <x:v>406</x:v>
      </x:c>
      <x:c r="K53" t="s">
        <x:v>40</x:v>
      </x:c>
      <x:c r="L53" t="s">
        <x:v>1457</x:v>
      </x:c>
      <x:c r="M53">
        <x:v>1</x:v>
      </x:c>
    </x:row>
    <x:row r="54">
      <x:c r="A54" t="s">
        <x:v>407</x:v>
      </x:c>
      <x:c r="B54" t="s">
        <x:v>409</x:v>
      </x:c>
      <x:c r="C54" t="s">
        <x:v>113</x:v>
      </x:c>
      <x:c r="D54" t="s">
        <x:v>109</x:v>
      </x:c>
      <x:c r="E54" t="s">
        <x:v>112</x:v>
      </x:c>
      <x:c r="F54" t="s">
        <x:v>1534</x:v>
      </x:c>
      <x:c r="G54" t="s">
        <x:v>410</x:v>
      </x:c>
      <x:c r="H54" t="s">
        <x:v>31</x:v>
      </x:c>
      <x:c r="I54" s="5" t="s">
        <x:v>1473</x:v>
      </x:c>
      <x:c r="J54" t="s">
        <x:v>411</x:v>
      </x:c>
      <x:c r="K54" t="s">
        <x:v>40</x:v>
      </x:c>
      <x:c r="L54" t="s">
        <x:v>1457</x:v>
      </x:c>
      <x:c r="M54">
        <x:v>1</x:v>
      </x:c>
    </x:row>
    <x:row r="55">
      <x:c r="A55" t="s">
        <x:v>412</x:v>
      </x:c>
      <x:c r="B55" t="s">
        <x:v>414</x:v>
      </x:c>
      <x:c r="C55" t="s">
        <x:v>113</x:v>
      </x:c>
      <x:c r="D55" t="s">
        <x:v>109</x:v>
      </x:c>
      <x:c r="E55" t="s">
        <x:v>112</x:v>
      </x:c>
      <x:c r="F55" t="s">
        <x:v>1534</x:v>
      </x:c>
      <x:c r="G55" t="s">
        <x:v>415</x:v>
      </x:c>
      <x:c r="H55" t="s">
        <x:v>31</x:v>
      </x:c>
      <x:c r="I55" s="5" t="s">
        <x:v>1473</x:v>
      </x:c>
      <x:c r="J55" t="s">
        <x:v>416</x:v>
      </x:c>
      <x:c r="K55" t="s">
        <x:v>40</x:v>
      </x:c>
      <x:c r="L55" t="s">
        <x:v>1457</x:v>
      </x:c>
      <x:c r="M55">
        <x:v>1</x:v>
      </x:c>
    </x:row>
    <x:row r="56">
      <x:c r="A56" t="s">
        <x:v>417</x:v>
      </x:c>
      <x:c r="B56" t="s">
        <x:v>419</x:v>
      </x:c>
      <x:c r="C56" t="s">
        <x:v>113</x:v>
      </x:c>
      <x:c r="D56" t="s">
        <x:v>109</x:v>
      </x:c>
      <x:c r="E56" t="s">
        <x:v>112</x:v>
      </x:c>
      <x:c r="F56" t="s">
        <x:v>1535</x:v>
      </x:c>
      <x:c r="G56" t="s">
        <x:v>420</x:v>
      </x:c>
      <x:c r="H56" t="s">
        <x:v>31</x:v>
      </x:c>
      <x:c r="I56" s="5" t="s">
        <x:v>1473</x:v>
      </x:c>
      <x:c r="J56" t="s">
        <x:v>421</x:v>
      </x:c>
      <x:c r="K56" t="s">
        <x:v>40</x:v>
      </x:c>
      <x:c r="L56" t="s">
        <x:v>1457</x:v>
      </x:c>
      <x:c r="M56">
        <x:v>1</x:v>
      </x:c>
    </x:row>
    <x:row r="57">
      <x:c r="A57" t="s">
        <x:v>422</x:v>
      </x:c>
      <x:c r="B57" t="s">
        <x:v>424</x:v>
      </x:c>
      <x:c r="C57" t="s">
        <x:v>113</x:v>
      </x:c>
      <x:c r="D57" t="s">
        <x:v>109</x:v>
      </x:c>
      <x:c r="E57" t="s">
        <x:v>112</x:v>
      </x:c>
      <x:c r="F57" t="s">
        <x:v>1536</x:v>
      </x:c>
      <x:c r="G57" t="s">
        <x:v>425</x:v>
      </x:c>
      <x:c r="H57" t="s">
        <x:v>31</x:v>
      </x:c>
      <x:c r="I57" s="5" t="s">
        <x:v>1473</x:v>
      </x:c>
      <x:c r="J57" t="s">
        <x:v>426</x:v>
      </x:c>
      <x:c r="K57" t="s">
        <x:v>40</x:v>
      </x:c>
      <x:c r="L57" t="s">
        <x:v>1457</x:v>
      </x:c>
      <x:c r="M57">
        <x:v>1</x:v>
      </x:c>
    </x:row>
    <x:row r="58">
      <x:c r="A58" t="s">
        <x:v>427</x:v>
      </x:c>
      <x:c r="B58" t="s">
        <x:v>429</x:v>
      </x:c>
      <x:c r="C58" t="s">
        <x:v>113</x:v>
      </x:c>
      <x:c r="D58" t="s">
        <x:v>109</x:v>
      </x:c>
      <x:c r="E58" t="s">
        <x:v>112</x:v>
      </x:c>
      <x:c r="F58" t="s">
        <x:v>1537</x:v>
      </x:c>
      <x:c r="G58" t="s">
        <x:v>430</x:v>
      </x:c>
      <x:c r="H58" t="s">
        <x:v>31</x:v>
      </x:c>
      <x:c r="I58" s="5" t="s">
        <x:v>1473</x:v>
      </x:c>
      <x:c r="J58" t="s">
        <x:v>431</x:v>
      </x:c>
      <x:c r="K58" t="s">
        <x:v>40</x:v>
      </x:c>
      <x:c r="L58" t="s">
        <x:v>1457</x:v>
      </x:c>
      <x:c r="M58">
        <x:v>1</x:v>
      </x:c>
    </x:row>
    <x:row r="59">
      <x:c r="A59" t="s">
        <x:v>432</x:v>
      </x:c>
      <x:c r="B59" t="s">
        <x:v>434</x:v>
      </x:c>
      <x:c r="C59" t="s">
        <x:v>113</x:v>
      </x:c>
      <x:c r="D59" t="s">
        <x:v>109</x:v>
      </x:c>
      <x:c r="E59" t="s">
        <x:v>94</x:v>
      </x:c>
      <x:c r="F59" t="s">
        <x:v>1538</x:v>
      </x:c>
      <x:c r="G59" t="s">
        <x:v>435</x:v>
      </x:c>
      <x:c r="H59" t="s">
        <x:v>31</x:v>
      </x:c>
      <x:c r="I59" s="5" t="s">
        <x:v>1469</x:v>
      </x:c>
      <x:c r="J59" t="s">
        <x:v>436</x:v>
      </x:c>
      <x:c r="K59" t="s">
        <x:v>40</x:v>
      </x:c>
      <x:c r="L59" t="s">
        <x:v>1457</x:v>
      </x:c>
      <x:c r="M59">
        <x:v>1</x:v>
      </x:c>
    </x:row>
    <x:row r="60">
      <x:c r="A60" t="s">
        <x:v>437</x:v>
      </x:c>
      <x:c r="B60" t="s">
        <x:v>439</x:v>
      </x:c>
      <x:c r="C60" t="s">
        <x:v>113</x:v>
      </x:c>
      <x:c r="D60" t="s">
        <x:v>109</x:v>
      </x:c>
      <x:c r="E60" t="s">
        <x:v>94</x:v>
      </x:c>
      <x:c r="F60" t="s">
        <x:v>1539</x:v>
      </x:c>
      <x:c r="G60" t="s">
        <x:v>440</x:v>
      </x:c>
      <x:c r="H60" t="s">
        <x:v>31</x:v>
      </x:c>
      <x:c r="I60" s="5" t="s">
        <x:v>1469</x:v>
      </x:c>
      <x:c r="J60" t="s">
        <x:v>441</x:v>
      </x:c>
      <x:c r="K60" t="s">
        <x:v>40</x:v>
      </x:c>
      <x:c r="L60" t="s">
        <x:v>1457</x:v>
      </x:c>
      <x:c r="M60">
        <x:v>1</x:v>
      </x:c>
    </x:row>
    <x:row r="61">
      <x:c r="A61" t="s">
        <x:v>442</x:v>
      </x:c>
      <x:c r="B61" t="s">
        <x:v>444</x:v>
      </x:c>
      <x:c r="C61" t="s">
        <x:v>113</x:v>
      </x:c>
      <x:c r="D61" t="s">
        <x:v>109</x:v>
      </x:c>
      <x:c r="E61" t="s">
        <x:v>112</x:v>
      </x:c>
      <x:c r="F61" t="s">
        <x:v>1540</x:v>
      </x:c>
      <x:c r="G61" t="s">
        <x:v>445</x:v>
      </x:c>
      <x:c r="H61" t="s">
        <x:v>31</x:v>
      </x:c>
      <x:c r="I61" s="5" t="s">
        <x:v>1473</x:v>
      </x:c>
      <x:c r="J61" t="s">
        <x:v>446</x:v>
      </x:c>
      <x:c r="K61" t="s">
        <x:v>40</x:v>
      </x:c>
      <x:c r="L61" t="s">
        <x:v>1457</x:v>
      </x:c>
      <x:c r="M61">
        <x:v>1</x:v>
      </x:c>
    </x:row>
    <x:row r="62">
      <x:c r="A62" t="s">
        <x:v>447</x:v>
      </x:c>
      <x:c r="B62" t="s">
        <x:v>449</x:v>
      </x:c>
      <x:c r="C62" t="s">
        <x:v>113</x:v>
      </x:c>
      <x:c r="D62" t="s">
        <x:v>109</x:v>
      </x:c>
      <x:c r="E62" t="s">
        <x:v>112</x:v>
      </x:c>
      <x:c r="F62" t="s">
        <x:v>1541</x:v>
      </x:c>
      <x:c r="G62" t="s">
        <x:v>450</x:v>
      </x:c>
      <x:c r="H62" t="s">
        <x:v>31</x:v>
      </x:c>
      <x:c r="I62" s="5" t="s">
        <x:v>1473</x:v>
      </x:c>
      <x:c r="J62" t="s">
        <x:v>451</x:v>
      </x:c>
      <x:c r="K62" t="s">
        <x:v>40</x:v>
      </x:c>
      <x:c r="L62" t="s">
        <x:v>1457</x:v>
      </x:c>
      <x:c r="M62">
        <x:v>1</x:v>
      </x:c>
    </x:row>
    <x:row r="63">
      <x:c r="A63" t="s">
        <x:v>452</x:v>
      </x:c>
      <x:c r="B63" t="s">
        <x:v>454</x:v>
      </x:c>
      <x:c r="C63" t="s">
        <x:v>113</x:v>
      </x:c>
      <x:c r="D63" t="s">
        <x:v>109</x:v>
      </x:c>
      <x:c r="E63" t="s">
        <x:v>112</x:v>
      </x:c>
      <x:c r="F63" t="s">
        <x:v>1542</x:v>
      </x:c>
      <x:c r="G63" t="s">
        <x:v>455</x:v>
      </x:c>
      <x:c r="H63" t="s">
        <x:v>31</x:v>
      </x:c>
      <x:c r="I63" s="5" t="s">
        <x:v>1473</x:v>
      </x:c>
      <x:c r="J63" t="s">
        <x:v>456</x:v>
      </x:c>
      <x:c r="K63" t="s">
        <x:v>40</x:v>
      </x:c>
      <x:c r="L63" t="s">
        <x:v>1457</x:v>
      </x:c>
      <x:c r="M63">
        <x:v>1</x:v>
      </x:c>
    </x:row>
    <x:row r="64">
      <x:c r="A64" t="s">
        <x:v>457</x:v>
      </x:c>
      <x:c r="B64" t="s">
        <x:v>459</x:v>
      </x:c>
      <x:c r="C64" t="s">
        <x:v>113</x:v>
      </x:c>
      <x:c r="D64" t="s">
        <x:v>109</x:v>
      </x:c>
      <x:c r="E64" t="s">
        <x:v>112</x:v>
      </x:c>
      <x:c r="F64" t="s">
        <x:v>1543</x:v>
      </x:c>
      <x:c r="G64" t="s">
        <x:v>460</x:v>
      </x:c>
      <x:c r="H64" t="s">
        <x:v>31</x:v>
      </x:c>
      <x:c r="I64" s="5" t="s">
        <x:v>1473</x:v>
      </x:c>
      <x:c r="J64" t="s">
        <x:v>461</x:v>
      </x:c>
      <x:c r="K64" t="s">
        <x:v>40</x:v>
      </x:c>
      <x:c r="L64" t="s">
        <x:v>1457</x:v>
      </x:c>
      <x:c r="M64">
        <x:v>1</x:v>
      </x:c>
    </x:row>
    <x:row r="65">
      <x:c r="A65" t="s">
        <x:v>462</x:v>
      </x:c>
      <x:c r="B65" t="s">
        <x:v>464</x:v>
      </x:c>
      <x:c r="C65" t="s">
        <x:v>113</x:v>
      </x:c>
      <x:c r="D65" t="s">
        <x:v>109</x:v>
      </x:c>
      <x:c r="E65" t="s">
        <x:v>112</x:v>
      </x:c>
      <x:c r="F65" t="s">
        <x:v>1544</x:v>
      </x:c>
      <x:c r="G65" t="s">
        <x:v>465</x:v>
      </x:c>
      <x:c r="H65" t="s">
        <x:v>31</x:v>
      </x:c>
      <x:c r="I65" s="5" t="s">
        <x:v>1473</x:v>
      </x:c>
      <x:c r="J65" t="s">
        <x:v>466</x:v>
      </x:c>
      <x:c r="K65" t="s">
        <x:v>40</x:v>
      </x:c>
      <x:c r="L65" t="s">
        <x:v>1457</x:v>
      </x:c>
      <x:c r="M65">
        <x:v>1</x:v>
      </x:c>
    </x:row>
    <x:row r="66">
      <x:c r="A66" t="s">
        <x:v>467</x:v>
      </x:c>
      <x:c r="B66" t="s">
        <x:v>469</x:v>
      </x:c>
      <x:c r="C66" t="s">
        <x:v>113</x:v>
      </x:c>
      <x:c r="D66" t="s">
        <x:v>109</x:v>
      </x:c>
      <x:c r="E66" t="s">
        <x:v>472</x:v>
      </x:c>
      <x:c r="F66" t="s">
        <x:v>1545</x:v>
      </x:c>
      <x:c r="G66" t="s">
        <x:v>473</x:v>
      </x:c>
      <x:c r="H66" t="s">
        <x:v>31</x:v>
      </x:c>
      <x:c r="I66" s="5" t="s">
        <x:v>1546</x:v>
      </x:c>
      <x:c r="J66" t="s">
        <x:v>474</x:v>
      </x:c>
      <x:c r="K66" t="s">
        <x:v>40</x:v>
      </x:c>
      <x:c r="L66" t="s">
        <x:v>1457</x:v>
      </x:c>
      <x:c r="M66">
        <x:v>1</x:v>
      </x:c>
    </x:row>
    <x:row r="67">
      <x:c r="A67" t="s">
        <x:v>475</x:v>
      </x:c>
      <x:c r="B67" t="s">
        <x:v>477</x:v>
      </x:c>
      <x:c r="C67" t="s">
        <x:v>113</x:v>
      </x:c>
      <x:c r="D67" t="s">
        <x:v>109</x:v>
      </x:c>
      <x:c r="E67" t="s">
        <x:v>759</x:v>
      </x:c>
      <x:c r="F67" t="s">
        <x:v>1547</x:v>
      </x:c>
      <x:c r="G67" t="s">
        <x:v>478</x:v>
      </x:c>
      <x:c r="H67" t="s">
        <x:v>31</x:v>
      </x:c>
      <x:c r="I67" s="5" t="s">
        <x:v>1548</x:v>
      </x:c>
      <x:c r="J67" t="s">
        <x:v>476</x:v>
      </x:c>
      <x:c r="K67" t="s">
        <x:v>40</x:v>
      </x:c>
      <x:c r="L67" t="s">
        <x:v>1457</x:v>
      </x:c>
      <x:c r="M67">
        <x:v>1</x:v>
      </x:c>
    </x:row>
    <x:row r="68">
      <x:c r="A68" t="s">
        <x:v>479</x:v>
      </x:c>
      <x:c r="B68" t="s">
        <x:v>483</x:v>
      </x:c>
      <x:c r="C68" t="s">
        <x:v>113</x:v>
      </x:c>
      <x:c r="D68" t="s">
        <x:v>109</x:v>
      </x:c>
      <x:c r="E68" t="s">
        <x:v>143</x:v>
      </x:c>
      <x:c r="F68" t="s">
        <x:v>1549</x:v>
      </x:c>
      <x:c r="G68" t="s">
        <x:v>1550</x:v>
      </x:c>
      <x:c r="H68" t="s">
        <x:v>31</x:v>
      </x:c>
      <x:c r="I68" s="5" t="s">
        <x:v>1551</x:v>
      </x:c>
      <x:c r="J68" t="s">
        <x:v>485</x:v>
      </x:c>
      <x:c r="K68" t="s">
        <x:v>115</x:v>
      </x:c>
      <x:c r="L68" t="s">
        <x:v>1457</x:v>
      </x:c>
      <x:c r="M68">
        <x:v>1</x:v>
      </x:c>
    </x:row>
    <x:row r="69">
      <x:c r="A69" t="s">
        <x:v>486</x:v>
      </x:c>
      <x:c r="B69" t="s">
        <x:v>488</x:v>
      </x:c>
      <x:c r="C69" t="s">
        <x:v>113</x:v>
      </x:c>
      <x:c r="D69" t="s">
        <x:v>109</x:v>
      </x:c>
      <x:c r="E69" t="s">
        <x:v>838</x:v>
      </x:c>
      <x:c r="F69" t="s">
        <x:v>1552</x:v>
      </x:c>
      <x:c r="G69" t="s">
        <x:v>489</x:v>
      </x:c>
      <x:c r="H69" t="s">
        <x:v>31</x:v>
      </x:c>
      <x:c r="I69" s="5" t="s">
        <x:v>1553</x:v>
      </x:c>
      <x:c r="J69" t="s">
        <x:v>490</x:v>
      </x:c>
      <x:c r="K69" t="s">
        <x:v>40</x:v>
      </x:c>
      <x:c r="L69" t="s">
        <x:v>1457</x:v>
      </x:c>
      <x:c r="M69">
        <x:v>1</x:v>
      </x:c>
    </x:row>
    <x:row r="70">
      <x:c r="A70" t="s">
        <x:v>491</x:v>
      </x:c>
      <x:c r="B70" t="s">
        <x:v>493</x:v>
      </x:c>
      <x:c r="C70" t="s">
        <x:v>113</x:v>
      </x:c>
      <x:c r="D70" t="s">
        <x:v>109</x:v>
      </x:c>
      <x:c r="E70" t="s">
        <x:v>50</x:v>
      </x:c>
      <x:c r="F70" t="s">
        <x:v>1554</x:v>
      </x:c>
      <x:c r="G70" t="s">
        <x:v>494</x:v>
      </x:c>
      <x:c r="H70" t="s">
        <x:v>31</x:v>
      </x:c>
      <x:c r="I70" s="5" t="s">
        <x:v>1531</x:v>
      </x:c>
      <x:c r="J70" t="s">
        <x:v>495</x:v>
      </x:c>
      <x:c r="K70" t="s">
        <x:v>40</x:v>
      </x:c>
      <x:c r="L70" t="s">
        <x:v>1457</x:v>
      </x:c>
      <x:c r="M70">
        <x:v>1</x:v>
      </x:c>
    </x:row>
    <x:row r="71">
      <x:c r="A71" t="s">
        <x:v>496</x:v>
      </x:c>
      <x:c r="B71" t="s">
        <x:v>498</x:v>
      </x:c>
      <x:c r="C71" t="s">
        <x:v>113</x:v>
      </x:c>
      <x:c r="D71" t="s">
        <x:v>109</x:v>
      </x:c>
      <x:c r="E71" t="s">
        <x:v>996</x:v>
      </x:c>
      <x:c r="F71" t="s">
        <x:v>1555</x:v>
      </x:c>
      <x:c r="G71" t="s">
        <x:v>499</x:v>
      </x:c>
      <x:c r="H71" t="s">
        <x:v>31</x:v>
      </x:c>
      <x:c r="I71" s="5" t="s">
        <x:v>1556</x:v>
      </x:c>
      <x:c r="J71" t="s">
        <x:v>500</x:v>
      </x:c>
      <x:c r="K71" t="s">
        <x:v>40</x:v>
      </x:c>
      <x:c r="L71" t="s">
        <x:v>1457</x:v>
      </x:c>
      <x:c r="M71">
        <x:v>1</x:v>
      </x:c>
    </x:row>
    <x:row r="72">
      <x:c r="A72" t="s">
        <x:v>506</x:v>
      </x:c>
      <x:c r="B72" t="s">
        <x:v>505</x:v>
      </x:c>
      <x:c r="C72" t="s">
        <x:v>113</x:v>
      </x:c>
      <x:c r="D72" t="s">
        <x:v>109</x:v>
      </x:c>
      <x:c r="E72" t="s">
        <x:v>50</x:v>
      </x:c>
      <x:c r="F72" t="s">
        <x:v>1530</x:v>
      </x:c>
      <x:c r="G72" t="s">
        <x:v>508</x:v>
      </x:c>
      <x:c r="H72" t="s">
        <x:v>31</x:v>
      </x:c>
      <x:c r="I72" s="5" t="s">
        <x:v>1557</x:v>
      </x:c>
      <x:c r="J72" t="s">
        <x:v>507</x:v>
      </x:c>
      <x:c r="K72" t="s">
        <x:v>115</x:v>
      </x:c>
      <x:c r="L72" t="s">
        <x:v>1457</x:v>
      </x:c>
      <x:c r="M72">
        <x:v>1</x:v>
      </x:c>
    </x:row>
    <x:row r="73">
      <x:c r="A73" t="s">
        <x:v>509</x:v>
      </x:c>
      <x:c r="B73" t="s">
        <x:v>511</x:v>
      </x:c>
      <x:c r="C73" t="s">
        <x:v>113</x:v>
      </x:c>
      <x:c r="D73" t="s">
        <x:v>109</x:v>
      </x:c>
      <x:c r="E73" t="s">
        <x:v>305</x:v>
      </x:c>
      <x:c r="F73" t="s">
        <x:v>1558</x:v>
      </x:c>
      <x:c r="G73" t="s">
        <x:v>512</x:v>
      </x:c>
      <x:c r="H73" t="s">
        <x:v>31</x:v>
      </x:c>
      <x:c r="I73" s="5" t="s">
        <x:v>1559</x:v>
      </x:c>
      <x:c r="J73" t="s">
        <x:v>510</x:v>
      </x:c>
      <x:c r="K73" t="s">
        <x:v>40</x:v>
      </x:c>
      <x:c r="L73" t="s">
        <x:v>1457</x:v>
      </x:c>
      <x:c r="M73">
        <x:v>1</x:v>
      </x:c>
    </x:row>
    <x:row r="74">
      <x:c r="A74" t="s">
        <x:v>513</x:v>
      </x:c>
      <x:c r="B74" t="s">
        <x:v>515</x:v>
      </x:c>
      <x:c r="C74" t="s">
        <x:v>113</x:v>
      </x:c>
      <x:c r="D74" t="s">
        <x:v>109</x:v>
      </x:c>
      <x:c r="E74" t="s">
        <x:v>176</x:v>
      </x:c>
      <x:c r="F74" t="s">
        <x:v>1560</x:v>
      </x:c>
      <x:c r="G74" t="s">
        <x:v>516</x:v>
      </x:c>
      <x:c r="H74" t="s">
        <x:v>31</x:v>
      </x:c>
      <x:c r="I74" s="5" t="s">
        <x:v>1486</x:v>
      </x:c>
      <x:c r="J74" t="s">
        <x:v>514</x:v>
      </x:c>
      <x:c r="K74" t="s">
        <x:v>40</x:v>
      </x:c>
      <x:c r="L74" t="s">
        <x:v>1457</x:v>
      </x:c>
      <x:c r="M74">
        <x:v>1</x:v>
      </x:c>
    </x:row>
    <x:row r="75">
      <x:c r="A75" t="s">
        <x:v>517</x:v>
      </x:c>
      <x:c r="B75" t="s">
        <x:v>519</x:v>
      </x:c>
      <x:c r="C75" t="s">
        <x:v>113</x:v>
      </x:c>
      <x:c r="D75" t="s">
        <x:v>109</x:v>
      </x:c>
      <x:c r="E75" t="s">
        <x:v>522</x:v>
      </x:c>
      <x:c r="F75" t="s">
        <x:v>1561</x:v>
      </x:c>
      <x:c r="G75" t="s">
        <x:v>523</x:v>
      </x:c>
      <x:c r="H75" t="s">
        <x:v>31</x:v>
      </x:c>
      <x:c r="I75" s="5" t="s">
        <x:v>1562</x:v>
      </x:c>
      <x:c r="J75" t="s">
        <x:v>524</x:v>
      </x:c>
      <x:c r="K75" t="s">
        <x:v>40</x:v>
      </x:c>
      <x:c r="L75" t="s">
        <x:v>1457</x:v>
      </x:c>
      <x:c r="M75">
        <x:v>1</x:v>
      </x:c>
    </x:row>
    <x:row r="76">
      <x:c r="A76" t="s">
        <x:v>525</x:v>
      </x:c>
      <x:c r="B76" t="s">
        <x:v>527</x:v>
      </x:c>
      <x:c r="C76" t="s">
        <x:v>38</x:v>
      </x:c>
      <x:c r="D76" t="s">
        <x:v>109</x:v>
      </x:c>
      <x:c r="E76" t="s">
        <x:v>112</x:v>
      </x:c>
      <x:c r="F76" t="s">
        <x:v>1563</x:v>
      </x:c>
      <x:c r="G76" t="s">
        <x:v>528</x:v>
      </x:c>
      <x:c r="H76" t="s">
        <x:v>31</x:v>
      </x:c>
      <x:c r="I76" s="5" t="s">
        <x:v>1490</x:v>
      </x:c>
      <x:c r="J76" t="s">
        <x:v>529</x:v>
      </x:c>
      <x:c r="K76" t="s">
        <x:v>40</x:v>
      </x:c>
      <x:c r="L76" t="s">
        <x:v>1457</x:v>
      </x:c>
      <x:c r="M76">
        <x:v>1</x:v>
      </x:c>
    </x:row>
    <x:row r="77">
      <x:c r="A77" t="s">
        <x:v>530</x:v>
      </x:c>
      <x:c r="B77" t="s">
        <x:v>532</x:v>
      </x:c>
      <x:c r="C77" t="s">
        <x:v>38</x:v>
      </x:c>
      <x:c r="D77" t="s">
        <x:v>109</x:v>
      </x:c>
      <x:c r="E77" t="s">
        <x:v>112</x:v>
      </x:c>
      <x:c r="F77" t="s">
        <x:v>1564</x:v>
      </x:c>
      <x:c r="G77" t="s">
        <x:v>533</x:v>
      </x:c>
      <x:c r="H77" t="s">
        <x:v>31</x:v>
      </x:c>
      <x:c r="I77" s="5" t="s">
        <x:v>1490</x:v>
      </x:c>
      <x:c r="J77" t="s">
        <x:v>534</x:v>
      </x:c>
      <x:c r="K77" t="s">
        <x:v>40</x:v>
      </x:c>
      <x:c r="L77" t="s">
        <x:v>1457</x:v>
      </x:c>
      <x:c r="M77">
        <x:v>1</x:v>
      </x:c>
    </x:row>
    <x:row r="78">
      <x:c r="A78" t="s">
        <x:v>535</x:v>
      </x:c>
      <x:c r="B78" t="s">
        <x:v>537</x:v>
      </x:c>
      <x:c r="C78" t="s">
        <x:v>38</x:v>
      </x:c>
      <x:c r="D78" t="s">
        <x:v>109</x:v>
      </x:c>
      <x:c r="E78" t="s">
        <x:v>112</x:v>
      </x:c>
      <x:c r="F78" t="s">
        <x:v>1565</x:v>
      </x:c>
      <x:c r="G78" t="s">
        <x:v>538</x:v>
      </x:c>
      <x:c r="H78" t="s">
        <x:v>31</x:v>
      </x:c>
      <x:c r="I78" s="5" t="s">
        <x:v>1490</x:v>
      </x:c>
      <x:c r="J78" t="s">
        <x:v>539</x:v>
      </x:c>
      <x:c r="K78" t="s">
        <x:v>40</x:v>
      </x:c>
      <x:c r="L78" t="s">
        <x:v>1457</x:v>
      </x:c>
      <x:c r="M78">
        <x:v>1</x:v>
      </x:c>
    </x:row>
    <x:row r="79">
      <x:c r="A79" t="s">
        <x:v>540</x:v>
      </x:c>
      <x:c r="B79" t="s">
        <x:v>542</x:v>
      </x:c>
      <x:c r="C79" t="s">
        <x:v>38</x:v>
      </x:c>
      <x:c r="D79" t="s">
        <x:v>109</x:v>
      </x:c>
      <x:c r="E79" t="s">
        <x:v>112</x:v>
      </x:c>
      <x:c r="F79" t="s">
        <x:v>1566</x:v>
      </x:c>
      <x:c r="G79" t="s">
        <x:v>543</x:v>
      </x:c>
      <x:c r="H79" t="s">
        <x:v>31</x:v>
      </x:c>
      <x:c r="I79" s="5" t="s">
        <x:v>1490</x:v>
      </x:c>
      <x:c r="J79" t="s">
        <x:v>544</x:v>
      </x:c>
      <x:c r="K79" t="s">
        <x:v>40</x:v>
      </x:c>
      <x:c r="L79" t="s">
        <x:v>1457</x:v>
      </x:c>
      <x:c r="M79">
        <x:v>1</x:v>
      </x:c>
    </x:row>
    <x:row r="80">
      <x:c r="A80" t="s">
        <x:v>545</x:v>
      </x:c>
      <x:c r="B80" t="s">
        <x:v>434</x:v>
      </x:c>
      <x:c r="C80" t="s">
        <x:v>38</x:v>
      </x:c>
      <x:c r="D80" t="s">
        <x:v>109</x:v>
      </x:c>
      <x:c r="E80" t="s">
        <x:v>94</x:v>
      </x:c>
      <x:c r="F80" t="s">
        <x:v>1538</x:v>
      </x:c>
      <x:c r="G80" t="s">
        <x:v>547</x:v>
      </x:c>
      <x:c r="H80" t="s">
        <x:v>31</x:v>
      </x:c>
      <x:c r="I80" s="5" t="s">
        <x:v>1469</x:v>
      </x:c>
      <x:c r="J80" t="s">
        <x:v>546</x:v>
      </x:c>
      <x:c r="K80" t="s">
        <x:v>40</x:v>
      </x:c>
      <x:c r="L80" t="s">
        <x:v>1457</x:v>
      </x:c>
      <x:c r="M80">
        <x:v>1</x:v>
      </x:c>
    </x:row>
    <x:row r="81">
      <x:c r="A81" t="s">
        <x:v>548</x:v>
      </x:c>
      <x:c r="B81" t="s">
        <x:v>552</x:v>
      </x:c>
      <x:c r="C81" t="s">
        <x:v>38</x:v>
      </x:c>
      <x:c r="D81" t="s">
        <x:v>109</x:v>
      </x:c>
      <x:c r="E81" t="s">
        <x:v>112</x:v>
      </x:c>
      <x:c r="F81" t="s">
        <x:v>1567</x:v>
      </x:c>
      <x:c r="G81" t="s">
        <x:v>553</x:v>
      </x:c>
      <x:c r="H81" t="s">
        <x:v>31</x:v>
      </x:c>
      <x:c r="I81" s="5" t="s">
        <x:v>1473</x:v>
      </x:c>
      <x:c r="J81" t="s">
        <x:v>549</x:v>
      </x:c>
      <x:c r="K81" t="s">
        <x:v>40</x:v>
      </x:c>
      <x:c r="L81" t="s">
        <x:v>1457</x:v>
      </x:c>
      <x:c r="M81">
        <x:v>1</x:v>
      </x:c>
    </x:row>
    <x:row r="82">
      <x:c r="A82" t="s">
        <x:v>554</x:v>
      </x:c>
      <x:c r="B82" t="s">
        <x:v>558</x:v>
      </x:c>
      <x:c r="C82" t="s">
        <x:v>38</x:v>
      </x:c>
      <x:c r="D82" t="s">
        <x:v>109</x:v>
      </x:c>
      <x:c r="E82" t="s">
        <x:v>153</x:v>
      </x:c>
      <x:c r="F82" t="s">
        <x:v>1568</x:v>
      </x:c>
      <x:c r="G82" t="s">
        <x:v>559</x:v>
      </x:c>
      <x:c r="H82" t="s">
        <x:v>31</x:v>
      </x:c>
      <x:c r="I82" s="5" t="s">
        <x:v>1481</x:v>
      </x:c>
      <x:c r="J82" t="s">
        <x:v>555</x:v>
      </x:c>
      <x:c r="K82" t="s">
        <x:v>40</x:v>
      </x:c>
      <x:c r="L82" t="s">
        <x:v>1457</x:v>
      </x:c>
      <x:c r="M82">
        <x:v>1</x:v>
      </x:c>
    </x:row>
    <x:row r="83">
      <x:c r="A83" t="s">
        <x:v>560</x:v>
      </x:c>
      <x:c r="B83" t="s">
        <x:v>562</x:v>
      </x:c>
      <x:c r="C83" t="s">
        <x:v>38</x:v>
      </x:c>
      <x:c r="D83" t="s">
        <x:v>109</x:v>
      </x:c>
      <x:c r="E83" t="s">
        <x:v>153</x:v>
      </x:c>
      <x:c r="F83" t="s">
        <x:v>1569</x:v>
      </x:c>
      <x:c r="G83" t="s">
        <x:v>563</x:v>
      </x:c>
      <x:c r="H83" t="s">
        <x:v>31</x:v>
      </x:c>
      <x:c r="I83" s="5" t="s">
        <x:v>1481</x:v>
      </x:c>
      <x:c r="J83" t="s">
        <x:v>561</x:v>
      </x:c>
      <x:c r="K83" t="s">
        <x:v>40</x:v>
      </x:c>
      <x:c r="L83" t="s">
        <x:v>1457</x:v>
      </x:c>
      <x:c r="M83">
        <x:v>1</x:v>
      </x:c>
    </x:row>
    <x:row r="84">
      <x:c r="A84" t="s">
        <x:v>564</x:v>
      </x:c>
      <x:c r="B84" t="s">
        <x:v>568</x:v>
      </x:c>
      <x:c r="C84" t="s">
        <x:v>38</x:v>
      </x:c>
      <x:c r="D84" t="s">
        <x:v>109</x:v>
      </x:c>
      <x:c r="E84" t="s">
        <x:v>50</x:v>
      </x:c>
      <x:c r="F84" t="s">
        <x:v>1570</x:v>
      </x:c>
      <x:c r="G84" t="s">
        <x:v>569</x:v>
      </x:c>
      <x:c r="H84" t="s">
        <x:v>31</x:v>
      </x:c>
      <x:c r="I84" s="5" t="s">
        <x:v>1531</x:v>
      </x:c>
      <x:c r="J84" t="s">
        <x:v>565</x:v>
      </x:c>
      <x:c r="K84" t="s">
        <x:v>40</x:v>
      </x:c>
      <x:c r="L84" t="s">
        <x:v>1457</x:v>
      </x:c>
      <x:c r="M84">
        <x:v>1</x:v>
      </x:c>
    </x:row>
    <x:row r="85">
      <x:c r="A85" t="s">
        <x:v>570</x:v>
      </x:c>
      <x:c r="B85" t="s">
        <x:v>572</x:v>
      </x:c>
      <x:c r="C85" t="s">
        <x:v>38</x:v>
      </x:c>
      <x:c r="D85" t="s">
        <x:v>109</x:v>
      </x:c>
      <x:c r="E85" t="s">
        <x:v>295</x:v>
      </x:c>
      <x:c r="F85" t="s">
        <x:v>1571</x:v>
      </x:c>
      <x:c r="G85" t="s">
        <x:v>573</x:v>
      </x:c>
      <x:c r="H85" t="s">
        <x:v>31</x:v>
      </x:c>
      <x:c r="I85" s="5" t="s">
        <x:v>1572</x:v>
      </x:c>
      <x:c r="J85" t="s">
        <x:v>571</x:v>
      </x:c>
      <x:c r="K85" t="s">
        <x:v>40</x:v>
      </x:c>
      <x:c r="L85" t="s">
        <x:v>1457</x:v>
      </x:c>
      <x:c r="M85">
        <x:v>1</x:v>
      </x:c>
    </x:row>
    <x:row r="86">
      <x:c r="A86" t="s">
        <x:v>574</x:v>
      </x:c>
      <x:c r="B86" t="s">
        <x:v>66</x:v>
      </x:c>
      <x:c r="C86" t="s">
        <x:v>38</x:v>
      </x:c>
      <x:c r="D86" t="s">
        <x:v>109</x:v>
      </x:c>
      <x:c r="E86" t="s">
        <x:v>69</x:v>
      </x:c>
      <x:c r="F86" t="s">
        <x:v>1573</x:v>
      </x:c>
      <x:c r="G86" t="s">
        <x:v>578</x:v>
      </x:c>
      <x:c r="H86" t="s">
        <x:v>31</x:v>
      </x:c>
      <x:c r="I86" s="5" t="s">
        <x:v>1463</x:v>
      </x:c>
      <x:c r="J86" t="s">
        <x:v>575</x:v>
      </x:c>
      <x:c r="K86" t="s">
        <x:v>40</x:v>
      </x:c>
      <x:c r="L86" t="s">
        <x:v>1457</x:v>
      </x:c>
      <x:c r="M86">
        <x:v>1</x:v>
      </x:c>
    </x:row>
    <x:row r="87">
      <x:c r="A87" t="s">
        <x:v>579</x:v>
      </x:c>
      <x:c r="B87" t="s">
        <x:v>583</x:v>
      </x:c>
      <x:c r="C87" t="s">
        <x:v>38</x:v>
      </x:c>
      <x:c r="D87" t="s">
        <x:v>109</x:v>
      </x:c>
      <x:c r="E87" t="s">
        <x:v>347</x:v>
      </x:c>
      <x:c r="F87" t="s">
        <x:v>1574</x:v>
      </x:c>
      <x:c r="G87" t="s">
        <x:v>584</x:v>
      </x:c>
      <x:c r="H87" t="s">
        <x:v>31</x:v>
      </x:c>
      <x:c r="I87" s="5" t="s">
        <x:v>1528</x:v>
      </x:c>
      <x:c r="J87" t="s">
        <x:v>580</x:v>
      </x:c>
      <x:c r="K87" t="s">
        <x:v>40</x:v>
      </x:c>
      <x:c r="L87" t="s">
        <x:v>1457</x:v>
      </x:c>
      <x:c r="M87">
        <x:v>1</x:v>
      </x:c>
    </x:row>
    <x:row r="88">
      <x:c r="A88" t="s">
        <x:v>585</x:v>
      </x:c>
      <x:c r="B88" t="s">
        <x:v>587</x:v>
      </x:c>
      <x:c r="C88" t="s">
        <x:v>588</x:v>
      </x:c>
      <x:c r="D88" t="s">
        <x:v>109</x:v>
      </x:c>
      <x:c r="E88" t="s">
        <x:v>50</x:v>
      </x:c>
      <x:c r="F88" t="s">
        <x:v>1530</x:v>
      </x:c>
      <x:c r="G88" t="s">
        <x:v>388</x:v>
      </x:c>
      <x:c r="H88" t="s">
        <x:v>31</x:v>
      </x:c>
      <x:c r="I88" s="5" t="s">
        <x:v>1575</x:v>
      </x:c>
      <x:c r="J88" t="s">
        <x:v>389</x:v>
      </x:c>
      <x:c r="K88" t="s">
        <x:v>115</x:v>
      </x:c>
      <x:c r="L88" t="s">
        <x:v>1457</x:v>
      </x:c>
      <x:c r="M88">
        <x:v>1</x:v>
      </x:c>
    </x:row>
    <x:row r="89">
      <x:c r="A89" t="s">
        <x:v>590</x:v>
      </x:c>
      <x:c r="B89" t="s">
        <x:v>592</x:v>
      </x:c>
      <x:c r="C89" t="s">
        <x:v>588</x:v>
      </x:c>
      <x:c r="D89" t="s">
        <x:v>109</x:v>
      </x:c>
      <x:c r="E89" t="s">
        <x:v>112</x:v>
      </x:c>
      <x:c r="F89" t="s">
        <x:v>1532</x:v>
      </x:c>
      <x:c r="G89" t="s">
        <x:v>114</x:v>
      </x:c>
      <x:c r="H89" t="s">
        <x:v>31</x:v>
      </x:c>
      <x:c r="I89" s="5" t="s">
        <x:v>1473</x:v>
      </x:c>
      <x:c r="J89" t="s">
        <x:v>198</x:v>
      </x:c>
      <x:c r="K89" t="s">
        <x:v>40</x:v>
      </x:c>
      <x:c r="L89" t="s">
        <x:v>1457</x:v>
      </x:c>
      <x:c r="M89">
        <x:v>1</x:v>
      </x:c>
    </x:row>
    <x:row r="90">
      <x:c r="A90" t="s">
        <x:v>593</x:v>
      </x:c>
      <x:c r="B90" t="s">
        <x:v>595</x:v>
      </x:c>
      <x:c r="C90" t="s">
        <x:v>588</x:v>
      </x:c>
      <x:c r="D90" t="s">
        <x:v>109</x:v>
      </x:c>
      <x:c r="E90" t="s">
        <x:v>125</x:v>
      </x:c>
      <x:c r="F90" t="s">
        <x:v>1576</x:v>
      </x:c>
      <x:c r="G90" t="s">
        <x:v>596</x:v>
      </x:c>
      <x:c r="H90" t="s">
        <x:v>31</x:v>
      </x:c>
      <x:c r="I90" s="5" t="s">
        <x:v>1551</x:v>
      </x:c>
      <x:c r="J90" t="s">
        <x:v>597</x:v>
      </x:c>
      <x:c r="K90" t="s">
        <x:v>40</x:v>
      </x:c>
      <x:c r="L90" t="s">
        <x:v>1457</x:v>
      </x:c>
      <x:c r="M90">
        <x:v>1</x:v>
      </x:c>
    </x:row>
    <x:row r="91">
      <x:c r="A91" t="s">
        <x:v>598</x:v>
      </x:c>
      <x:c r="B91" t="s">
        <x:v>600</x:v>
      </x:c>
      <x:c r="C91" t="s">
        <x:v>588</x:v>
      </x:c>
      <x:c r="D91" t="s">
        <x:v>109</x:v>
      </x:c>
      <x:c r="E91" t="s">
        <x:v>133</x:v>
      </x:c>
      <x:c r="F91" t="s">
        <x:v>1577</x:v>
      </x:c>
      <x:c r="G91" t="s">
        <x:v>134</x:v>
      </x:c>
      <x:c r="H91" t="s">
        <x:v>31</x:v>
      </x:c>
      <x:c r="I91" s="5" t="s">
        <x:v>1551</x:v>
      </x:c>
      <x:c r="J91" t="s">
        <x:v>601</x:v>
      </x:c>
      <x:c r="K91" t="s">
        <x:v>40</x:v>
      </x:c>
      <x:c r="L91" t="s">
        <x:v>1457</x:v>
      </x:c>
      <x:c r="M91">
        <x:v>1</x:v>
      </x:c>
    </x:row>
    <x:row r="92">
      <x:c r="A92" t="s">
        <x:v>602</x:v>
      </x:c>
      <x:c r="B92" t="s">
        <x:v>604</x:v>
      </x:c>
      <x:c r="C92" t="s">
        <x:v>588</x:v>
      </x:c>
      <x:c r="D92" t="s">
        <x:v>109</x:v>
      </x:c>
      <x:c r="E92" t="s">
        <x:v>143</x:v>
      </x:c>
      <x:c r="F92" t="s">
        <x:v>1578</x:v>
      </x:c>
      <x:c r="G92" t="s">
        <x:v>144</x:v>
      </x:c>
      <x:c r="H92" t="s">
        <x:v>31</x:v>
      </x:c>
      <x:c r="I92" s="5" t="s">
        <x:v>1551</x:v>
      </x:c>
      <x:c r="J92" t="s">
        <x:v>605</x:v>
      </x:c>
      <x:c r="K92" t="s">
        <x:v>40</x:v>
      </x:c>
      <x:c r="L92" t="s">
        <x:v>1457</x:v>
      </x:c>
      <x:c r="M92">
        <x:v>1</x:v>
      </x:c>
    </x:row>
    <x:row r="93">
      <x:c r="A93" t="s">
        <x:v>606</x:v>
      </x:c>
      <x:c r="B93" t="s">
        <x:v>610</x:v>
      </x:c>
      <x:c r="C93" t="s">
        <x:v>588</x:v>
      </x:c>
      <x:c r="D93" t="s">
        <x:v>109</x:v>
      </x:c>
      <x:c r="E93" t="s">
        <x:v>153</x:v>
      </x:c>
      <x:c r="F93" t="s">
        <x:v>1579</x:v>
      </x:c>
      <x:c r="G93" t="s">
        <x:v>154</x:v>
      </x:c>
      <x:c r="H93" t="s">
        <x:v>31</x:v>
      </x:c>
      <x:c r="I93" s="5" t="s">
        <x:v>1580</x:v>
      </x:c>
      <x:c r="J93" t="s">
        <x:v>611</x:v>
      </x:c>
      <x:c r="K93" t="s">
        <x:v>40</x:v>
      </x:c>
      <x:c r="L93" t="s">
        <x:v>1457</x:v>
      </x:c>
      <x:c r="M93">
        <x:v>1</x:v>
      </x:c>
    </x:row>
    <x:row r="94">
      <x:c r="A94" t="s">
        <x:v>612</x:v>
      </x:c>
      <x:c r="B94" t="s">
        <x:v>614</x:v>
      </x:c>
      <x:c r="C94" t="s">
        <x:v>588</x:v>
      </x:c>
      <x:c r="D94" t="s">
        <x:v>109</x:v>
      </x:c>
      <x:c r="E94" t="s">
        <x:v>50</x:v>
      </x:c>
      <x:c r="F94" t="s">
        <x:v>1581</x:v>
      </x:c>
      <x:c r="G94" t="s">
        <x:v>159</x:v>
      </x:c>
      <x:c r="H94" t="s">
        <x:v>31</x:v>
      </x:c>
      <x:c r="I94" s="5" t="s">
        <x:v>1557</x:v>
      </x:c>
      <x:c r="J94" t="s">
        <x:v>616</x:v>
      </x:c>
      <x:c r="K94" t="s">
        <x:v>40</x:v>
      </x:c>
      <x:c r="L94" t="s">
        <x:v>1457</x:v>
      </x:c>
      <x:c r="M94">
        <x:v>1</x:v>
      </x:c>
    </x:row>
    <x:row r="95">
      <x:c r="A95" t="s">
        <x:v>617</x:v>
      </x:c>
      <x:c r="B95" t="s">
        <x:v>619</x:v>
      </x:c>
      <x:c r="C95" t="s">
        <x:v>588</x:v>
      </x:c>
      <x:c r="D95" t="s">
        <x:v>109</x:v>
      </x:c>
      <x:c r="E95" t="s">
        <x:v>168</x:v>
      </x:c>
      <x:c r="F95" t="s">
        <x:v>1582</x:v>
      </x:c>
      <x:c r="G95" t="s">
        <x:v>169</x:v>
      </x:c>
      <x:c r="H95" t="s">
        <x:v>31</x:v>
      </x:c>
      <x:c r="I95" s="5" t="s">
        <x:v>1583</x:v>
      </x:c>
      <x:c r="J95" t="s">
        <x:v>170</x:v>
      </x:c>
      <x:c r="K95" t="s">
        <x:v>40</x:v>
      </x:c>
      <x:c r="L95" t="s">
        <x:v>1457</x:v>
      </x:c>
      <x:c r="M95">
        <x:v>1</x:v>
      </x:c>
    </x:row>
    <x:row r="96">
      <x:c r="A96" t="s">
        <x:v>620</x:v>
      </x:c>
      <x:c r="B96" t="s">
        <x:v>622</x:v>
      </x:c>
      <x:c r="C96" t="s">
        <x:v>588</x:v>
      </x:c>
      <x:c r="D96" t="s">
        <x:v>109</x:v>
      </x:c>
      <x:c r="E96" t="s">
        <x:v>176</x:v>
      </x:c>
      <x:c r="F96" t="s">
        <x:v>1584</x:v>
      </x:c>
      <x:c r="G96" t="s">
        <x:v>177</x:v>
      </x:c>
      <x:c r="H96" t="s">
        <x:v>31</x:v>
      </x:c>
      <x:c r="I96" s="5" t="s">
        <x:v>1557</x:v>
      </x:c>
      <x:c r="J96" t="s">
        <x:v>623</x:v>
      </x:c>
      <x:c r="K96" t="s">
        <x:v>40</x:v>
      </x:c>
      <x:c r="L96" t="s">
        <x:v>1457</x:v>
      </x:c>
      <x:c r="M96">
        <x:v>1</x:v>
      </x:c>
    </x:row>
    <x:row r="97">
      <x:c r="A97" t="s">
        <x:v>624</x:v>
      </x:c>
      <x:c r="B97" t="s">
        <x:v>628</x:v>
      </x:c>
      <x:c r="C97" t="s">
        <x:v>588</x:v>
      </x:c>
      <x:c r="D97" t="s">
        <x:v>109</x:v>
      </x:c>
      <x:c r="E97" t="s">
        <x:v>184</x:v>
      </x:c>
      <x:c r="F97" t="s">
        <x:v>1585</x:v>
      </x:c>
      <x:c r="G97" t="s">
        <x:v>185</x:v>
      </x:c>
      <x:c r="H97" t="s">
        <x:v>31</x:v>
      </x:c>
      <x:c r="I97" s="5" t="s">
        <x:v>1583</x:v>
      </x:c>
      <x:c r="J97" t="s">
        <x:v>629</x:v>
      </x:c>
      <x:c r="K97" t="s">
        <x:v>40</x:v>
      </x:c>
      <x:c r="L97" t="s">
        <x:v>1457</x:v>
      </x:c>
      <x:c r="M97">
        <x:v>1</x:v>
      </x:c>
    </x:row>
    <x:row r="98">
      <x:c r="A98" t="s">
        <x:v>630</x:v>
      </x:c>
      <x:c r="B98" t="s">
        <x:v>195</x:v>
      </x:c>
      <x:c r="C98" t="s">
        <x:v>632</x:v>
      </x:c>
      <x:c r="D98" t="s">
        <x:v>109</x:v>
      </x:c>
      <x:c r="E98" t="s">
        <x:v>112</x:v>
      </x:c>
      <x:c r="F98" t="s">
        <x:v>1532</x:v>
      </x:c>
      <x:c r="G98" t="s">
        <x:v>114</x:v>
      </x:c>
      <x:c r="H98" t="s">
        <x:v>31</x:v>
      </x:c>
      <x:c r="I98" s="5" t="s">
        <x:v>1586</x:v>
      </x:c>
      <x:c r="J98" t="s">
        <x:v>633</x:v>
      </x:c>
      <x:c r="K98" t="s">
        <x:v>115</x:v>
      </x:c>
      <x:c r="L98" t="s">
        <x:v>1457</x:v>
      </x:c>
      <x:c r="M98">
        <x:v>1</x:v>
      </x:c>
    </x:row>
    <x:row r="99">
      <x:c r="A99" t="s">
        <x:v>635</x:v>
      </x:c>
      <x:c r="B99" t="s">
        <x:v>637</x:v>
      </x:c>
      <x:c r="C99" t="s">
        <x:v>632</x:v>
      </x:c>
      <x:c r="D99" t="s">
        <x:v>109</x:v>
      </x:c>
      <x:c r="E99" t="s">
        <x:v>112</x:v>
      </x:c>
      <x:c r="F99" t="s">
        <x:v>1532</x:v>
      </x:c>
      <x:c r="G99" t="s">
        <x:v>114</x:v>
      </x:c>
      <x:c r="H99" t="s">
        <x:v>31</x:v>
      </x:c>
      <x:c r="I99" s="5" t="s">
        <x:v>1586</x:v>
      </x:c>
      <x:c r="J99" t="s">
        <x:v>636</x:v>
      </x:c>
      <x:c r="K99" t="s">
        <x:v>40</x:v>
      </x:c>
      <x:c r="L99" t="s">
        <x:v>1457</x:v>
      </x:c>
      <x:c r="M99">
        <x:v>1</x:v>
      </x:c>
    </x:row>
    <x:row r="100">
      <x:c r="A100" t="s">
        <x:v>638</x:v>
      </x:c>
      <x:c r="B100" t="s">
        <x:v>482</x:v>
      </x:c>
      <x:c r="C100" t="s">
        <x:v>632</x:v>
      </x:c>
      <x:c r="D100" t="s">
        <x:v>109</x:v>
      </x:c>
      <x:c r="E100" t="s">
        <x:v>143</x:v>
      </x:c>
      <x:c r="F100" t="s">
        <x:v>1578</x:v>
      </x:c>
      <x:c r="G100" t="s">
        <x:v>144</x:v>
      </x:c>
      <x:c r="H100" t="s">
        <x:v>31</x:v>
      </x:c>
      <x:c r="I100" s="5" t="s">
        <x:v>1551</x:v>
      </x:c>
      <x:c r="J100" t="s">
        <x:v>605</x:v>
      </x:c>
      <x:c r="K100" t="s">
        <x:v>115</x:v>
      </x:c>
      <x:c r="L100" t="s">
        <x:v>1457</x:v>
      </x:c>
      <x:c r="M100">
        <x:v>1</x:v>
      </x:c>
    </x:row>
    <x:row r="101">
      <x:c r="A101" t="s">
        <x:v>640</x:v>
      </x:c>
      <x:c r="B101" t="s">
        <x:v>609</x:v>
      </x:c>
      <x:c r="C101" t="s">
        <x:v>632</x:v>
      </x:c>
      <x:c r="D101" t="s">
        <x:v>109</x:v>
      </x:c>
      <x:c r="E101" t="s">
        <x:v>153</x:v>
      </x:c>
      <x:c r="F101" t="s">
        <x:v>1579</x:v>
      </x:c>
      <x:c r="G101" t="s">
        <x:v>154</x:v>
      </x:c>
      <x:c r="H101" t="s">
        <x:v>31</x:v>
      </x:c>
      <x:c r="I101" s="5" t="s">
        <x:v>1580</x:v>
      </x:c>
      <x:c r="J101" t="s">
        <x:v>611</x:v>
      </x:c>
      <x:c r="K101" t="s">
        <x:v>115</x:v>
      </x:c>
      <x:c r="L101" t="s">
        <x:v>1457</x:v>
      </x:c>
      <x:c r="M101">
        <x:v>1</x:v>
      </x:c>
    </x:row>
    <x:row r="102">
      <x:c r="A102" t="s">
        <x:v>642</x:v>
      </x:c>
      <x:c r="B102" t="s">
        <x:v>504</x:v>
      </x:c>
      <x:c r="C102" t="s">
        <x:v>632</x:v>
      </x:c>
      <x:c r="D102" t="s">
        <x:v>109</x:v>
      </x:c>
      <x:c r="E102" t="s">
        <x:v>50</x:v>
      </x:c>
      <x:c r="F102" t="s">
        <x:v>1530</x:v>
      </x:c>
      <x:c r="G102" t="s">
        <x:v>159</x:v>
      </x:c>
      <x:c r="H102" t="s">
        <x:v>31</x:v>
      </x:c>
      <x:c r="I102" s="5" t="s">
        <x:v>1557</x:v>
      </x:c>
      <x:c r="J102" t="s">
        <x:v>616</x:v>
      </x:c>
      <x:c r="K102" t="s">
        <x:v>115</x:v>
      </x:c>
      <x:c r="L102" t="s">
        <x:v>1457</x:v>
      </x:c>
      <x:c r="M102">
        <x:v>1</x:v>
      </x:c>
    </x:row>
    <x:row r="103">
      <x:c r="A103" t="s">
        <x:v>644</x:v>
      </x:c>
      <x:c r="B103" t="s">
        <x:v>647</x:v>
      </x:c>
      <x:c r="C103" t="s">
        <x:v>632</x:v>
      </x:c>
      <x:c r="D103" t="s">
        <x:v>109</x:v>
      </x:c>
      <x:c r="E103" t="s">
        <x:v>59</x:v>
      </x:c>
      <x:c r="F103" t="s">
        <x:v>1587</x:v>
      </x:c>
      <x:c r="G103" t="s">
        <x:v>318</x:v>
      </x:c>
      <x:c r="H103" t="s">
        <x:v>31</x:v>
      </x:c>
      <x:c r="I103" s="5" t="s">
        <x:v>1588</x:v>
      </x:c>
      <x:c r="J103" t="s">
        <x:v>648</x:v>
      </x:c>
      <x:c r="K103" t="s">
        <x:v>115</x:v>
      </x:c>
      <x:c r="L103" t="s">
        <x:v>1457</x:v>
      </x:c>
      <x:c r="M103">
        <x:v>1</x:v>
      </x:c>
    </x:row>
    <x:row r="104">
      <x:c r="A104" t="s">
        <x:v>649</x:v>
      </x:c>
      <x:c r="B104" t="s">
        <x:v>627</x:v>
      </x:c>
      <x:c r="C104" t="s">
        <x:v>632</x:v>
      </x:c>
      <x:c r="D104" t="s">
        <x:v>109</x:v>
      </x:c>
      <x:c r="E104" t="s">
        <x:v>184</x:v>
      </x:c>
      <x:c r="F104" t="s">
        <x:v>1585</x:v>
      </x:c>
      <x:c r="G104" t="s">
        <x:v>185</x:v>
      </x:c>
      <x:c r="H104" t="s">
        <x:v>31</x:v>
      </x:c>
      <x:c r="I104" s="5" t="s">
        <x:v>1583</x:v>
      </x:c>
      <x:c r="J104" t="s">
        <x:v>629</x:v>
      </x:c>
      <x:c r="K104" t="s">
        <x:v>115</x:v>
      </x:c>
      <x:c r="L104" t="s">
        <x:v>1457</x:v>
      </x:c>
      <x:c r="M104">
        <x:v>1</x:v>
      </x:c>
    </x:row>
    <x:row r="105">
      <x:c r="A105" t="s">
        <x:v>651</x:v>
      </x:c>
      <x:c r="B105" t="s">
        <x:v>653</x:v>
      </x:c>
      <x:c r="C105" t="s">
        <x:v>632</x:v>
      </x:c>
      <x:c r="D105" t="s">
        <x:v>109</x:v>
      </x:c>
      <x:c r="E105" t="s">
        <x:v>112</x:v>
      </x:c>
      <x:c r="F105" t="s">
        <x:v>1491</x:v>
      </x:c>
      <x:c r="G105" t="s">
        <x:v>197</x:v>
      </x:c>
      <x:c r="H105" t="s">
        <x:v>31</x:v>
      </x:c>
      <x:c r="I105" s="5" t="s">
        <x:v>1586</x:v>
      </x:c>
      <x:c r="J105" t="s">
        <x:v>654</x:v>
      </x:c>
      <x:c r="K105" t="s">
        <x:v>40</x:v>
      </x:c>
      <x:c r="L105" t="s">
        <x:v>1457</x:v>
      </x:c>
      <x:c r="M105">
        <x:v>1</x:v>
      </x:c>
    </x:row>
    <x:row r="106">
      <x:c r="A106" t="s">
        <x:v>655</x:v>
      </x:c>
      <x:c r="B106" t="s">
        <x:v>657</x:v>
      </x:c>
      <x:c r="C106" t="s">
        <x:v>632</x:v>
      </x:c>
      <x:c r="D106" t="s">
        <x:v>109</x:v>
      </x:c>
      <x:c r="E106" t="s">
        <x:v>233</x:v>
      </x:c>
      <x:c r="F106" t="s">
        <x:v>1589</x:v>
      </x:c>
      <x:c r="G106" t="s">
        <x:v>658</x:v>
      </x:c>
      <x:c r="H106" t="s">
        <x:v>31</x:v>
      </x:c>
      <x:c r="I106" s="5" t="s">
        <x:v>1586</x:v>
      </x:c>
      <x:c r="J106" t="s">
        <x:v>659</x:v>
      </x:c>
      <x:c r="K106" t="s">
        <x:v>40</x:v>
      </x:c>
      <x:c r="L106" t="s">
        <x:v>1457</x:v>
      </x:c>
      <x:c r="M106">
        <x:v>1</x:v>
      </x:c>
    </x:row>
    <x:row r="107">
      <x:c r="A107" t="s">
        <x:v>660</x:v>
      </x:c>
      <x:c r="B107" t="s">
        <x:v>662</x:v>
      </x:c>
      <x:c r="C107" t="s">
        <x:v>632</x:v>
      </x:c>
      <x:c r="D107" t="s">
        <x:v>109</x:v>
      </x:c>
      <x:c r="E107" t="s">
        <x:v>125</x:v>
      </x:c>
      <x:c r="F107" t="s">
        <x:v>1576</x:v>
      </x:c>
      <x:c r="G107" t="s">
        <x:v>596</x:v>
      </x:c>
      <x:c r="H107" t="s">
        <x:v>31</x:v>
      </x:c>
      <x:c r="I107" s="5" t="s">
        <x:v>1551</x:v>
      </x:c>
      <x:c r="J107" t="s">
        <x:v>597</x:v>
      </x:c>
      <x:c r="K107" t="s">
        <x:v>40</x:v>
      </x:c>
      <x:c r="L107" t="s">
        <x:v>1457</x:v>
      </x:c>
      <x:c r="M107">
        <x:v>1</x:v>
      </x:c>
    </x:row>
    <x:row r="108">
      <x:c r="A108" t="s">
        <x:v>663</x:v>
      </x:c>
      <x:c r="B108" t="s">
        <x:v>665</x:v>
      </x:c>
      <x:c r="C108" t="s">
        <x:v>632</x:v>
      </x:c>
      <x:c r="D108" t="s">
        <x:v>109</x:v>
      </x:c>
      <x:c r="E108" t="s">
        <x:v>133</x:v>
      </x:c>
      <x:c r="F108" t="s">
        <x:v>1577</x:v>
      </x:c>
      <x:c r="G108" t="s">
        <x:v>134</x:v>
      </x:c>
      <x:c r="H108" t="s">
        <x:v>31</x:v>
      </x:c>
      <x:c r="I108" s="5" t="s">
        <x:v>1551</x:v>
      </x:c>
      <x:c r="J108" t="s">
        <x:v>601</x:v>
      </x:c>
      <x:c r="K108" t="s">
        <x:v>40</x:v>
      </x:c>
      <x:c r="L108" t="s">
        <x:v>1457</x:v>
      </x:c>
      <x:c r="M108">
        <x:v>1</x:v>
      </x:c>
    </x:row>
    <x:row r="109">
      <x:c r="A109" t="s">
        <x:v>666</x:v>
      </x:c>
      <x:c r="B109" t="s">
        <x:v>668</x:v>
      </x:c>
      <x:c r="C109" t="s">
        <x:v>632</x:v>
      </x:c>
      <x:c r="D109" t="s">
        <x:v>109</x:v>
      </x:c>
      <x:c r="E109" t="s">
        <x:v>168</x:v>
      </x:c>
      <x:c r="F109" t="s">
        <x:v>1582</x:v>
      </x:c>
      <x:c r="G109" t="s">
        <x:v>169</x:v>
      </x:c>
      <x:c r="H109" t="s">
        <x:v>31</x:v>
      </x:c>
      <x:c r="I109" s="5" t="s">
        <x:v>1583</x:v>
      </x:c>
      <x:c r="J109" t="s">
        <x:v>170</x:v>
      </x:c>
      <x:c r="K109" t="s">
        <x:v>40</x:v>
      </x:c>
      <x:c r="L109" t="s">
        <x:v>1457</x:v>
      </x:c>
      <x:c r="M109">
        <x:v>1</x:v>
      </x:c>
    </x:row>
    <x:row r="110">
      <x:c r="A110" t="s">
        <x:v>669</x:v>
      </x:c>
      <x:c r="B110" t="s">
        <x:v>671</x:v>
      </x:c>
      <x:c r="C110" t="s">
        <x:v>632</x:v>
      </x:c>
      <x:c r="D110" t="s">
        <x:v>109</x:v>
      </x:c>
      <x:c r="E110" t="s">
        <x:v>59</x:v>
      </x:c>
      <x:c r="F110" t="s">
        <x:v>1587</x:v>
      </x:c>
      <x:c r="G110" t="s">
        <x:v>318</x:v>
      </x:c>
      <x:c r="H110" t="s">
        <x:v>31</x:v>
      </x:c>
      <x:c r="I110" s="5" t="s">
        <x:v>1588</x:v>
      </x:c>
      <x:c r="J110" t="s">
        <x:v>672</x:v>
      </x:c>
      <x:c r="K110" t="s">
        <x:v>40</x:v>
      </x:c>
      <x:c r="L110" t="s">
        <x:v>1457</x:v>
      </x:c>
      <x:c r="M110">
        <x:v>1</x:v>
      </x:c>
    </x:row>
    <x:row r="111">
      <x:c r="A111" t="s">
        <x:v>673</x:v>
      </x:c>
      <x:c r="B111" t="s">
        <x:v>173</x:v>
      </x:c>
      <x:c r="C111" t="s">
        <x:v>632</x:v>
      </x:c>
      <x:c r="D111" t="s">
        <x:v>109</x:v>
      </x:c>
      <x:c r="E111" t="s">
        <x:v>176</x:v>
      </x:c>
      <x:c r="F111" t="s">
        <x:v>1584</x:v>
      </x:c>
      <x:c r="G111" t="s">
        <x:v>675</x:v>
      </x:c>
      <x:c r="H111" t="s">
        <x:v>31</x:v>
      </x:c>
      <x:c r="I111" s="5" t="s">
        <x:v>1486</x:v>
      </x:c>
      <x:c r="J111" t="s">
        <x:v>674</x:v>
      </x:c>
      <x:c r="K111" t="s">
        <x:v>40</x:v>
      </x:c>
      <x:c r="L111" t="s">
        <x:v>1457</x:v>
      </x:c>
      <x:c r="M111">
        <x:v>1</x:v>
      </x:c>
    </x:row>
    <x:row r="112">
      <x:c r="A112" t="s">
        <x:v>676</x:v>
      </x:c>
      <x:c r="B112" t="s">
        <x:v>678</x:v>
      </x:c>
      <x:c r="C112" t="s">
        <x:v>679</x:v>
      </x:c>
      <x:c r="D112" t="s">
        <x:v>109</x:v>
      </x:c>
      <x:c r="E112" t="s">
        <x:v>233</x:v>
      </x:c>
      <x:c r="F112" t="s">
        <x:v>1590</x:v>
      </x:c>
      <x:c r="G112" t="s">
        <x:v>680</x:v>
      </x:c>
      <x:c r="H112" t="s">
        <x:v>31</x:v>
      </x:c>
      <x:c r="I112" s="5" t="s">
        <x:v>1498</x:v>
      </x:c>
      <x:c r="J112" t="s">
        <x:v>681</x:v>
      </x:c>
      <x:c r="K112" t="s">
        <x:v>115</x:v>
      </x:c>
      <x:c r="L112" t="s">
        <x:v>1457</x:v>
      </x:c>
      <x:c r="M112">
        <x:v>1</x:v>
      </x:c>
    </x:row>
    <x:row r="113">
      <x:c r="A113" t="s">
        <x:v>683</x:v>
      </x:c>
      <x:c r="B113" t="s">
        <x:v>685</x:v>
      </x:c>
      <x:c r="C113" t="s">
        <x:v>679</x:v>
      </x:c>
      <x:c r="D113" t="s">
        <x:v>109</x:v>
      </x:c>
      <x:c r="E113" t="s">
        <x:v>223</x:v>
      </x:c>
      <x:c r="F113" t="s">
        <x:v>1591</x:v>
      </x:c>
      <x:c r="G113" t="s">
        <x:v>686</x:v>
      </x:c>
      <x:c r="H113" t="s">
        <x:v>31</x:v>
      </x:c>
      <x:c r="I113" s="5" t="s">
        <x:v>1496</x:v>
      </x:c>
      <x:c r="J113" t="s">
        <x:v>687</x:v>
      </x:c>
      <x:c r="K113" t="s">
        <x:v>115</x:v>
      </x:c>
      <x:c r="L113" t="s">
        <x:v>1457</x:v>
      </x:c>
      <x:c r="M113">
        <x:v>1</x:v>
      </x:c>
    </x:row>
    <x:row r="114">
      <x:c r="A114" t="s">
        <x:v>688</x:v>
      </x:c>
      <x:c r="B114" t="s">
        <x:v>692</x:v>
      </x:c>
      <x:c r="C114" t="s">
        <x:v>679</x:v>
      </x:c>
      <x:c r="D114" t="s">
        <x:v>109</x:v>
      </x:c>
      <x:c r="E114" t="s">
        <x:v>695</x:v>
      </x:c>
      <x:c r="F114" t="s">
        <x:v>1592</x:v>
      </x:c>
      <x:c r="G114" t="s">
        <x:v>696</x:v>
      </x:c>
      <x:c r="H114" t="s">
        <x:v>31</x:v>
      </x:c>
      <x:c r="I114" s="5" t="s">
        <x:v>1593</x:v>
      </x:c>
      <x:c r="J114" t="s">
        <x:v>697</x:v>
      </x:c>
      <x:c r="K114" t="s">
        <x:v>115</x:v>
      </x:c>
      <x:c r="L114" t="s">
        <x:v>1457</x:v>
      </x:c>
      <x:c r="M114">
        <x:v>1</x:v>
      </x:c>
    </x:row>
    <x:row r="115">
      <x:c r="A115" t="s">
        <x:v>698</x:v>
      </x:c>
      <x:c r="B115" t="s">
        <x:v>700</x:v>
      </x:c>
      <x:c r="C115" t="s">
        <x:v>679</x:v>
      </x:c>
      <x:c r="D115" t="s">
        <x:v>109</x:v>
      </x:c>
      <x:c r="E115" t="s">
        <x:v>695</x:v>
      </x:c>
      <x:c r="F115" t="s">
        <x:v>1594</x:v>
      </x:c>
      <x:c r="G115" t="s">
        <x:v>701</x:v>
      </x:c>
      <x:c r="H115" t="s">
        <x:v>31</x:v>
      </x:c>
      <x:c r="I115" s="5" t="s">
        <x:v>1593</x:v>
      </x:c>
      <x:c r="J115" t="s">
        <x:v>702</x:v>
      </x:c>
      <x:c r="K115" t="s">
        <x:v>115</x:v>
      </x:c>
      <x:c r="L115" t="s">
        <x:v>1457</x:v>
      </x:c>
      <x:c r="M115">
        <x:v>1</x:v>
      </x:c>
    </x:row>
    <x:row r="116">
      <x:c r="A116" t="s">
        <x:v>703</x:v>
      </x:c>
      <x:c r="B116" t="s">
        <x:v>464</x:v>
      </x:c>
      <x:c r="C116" t="s">
        <x:v>679</x:v>
      </x:c>
      <x:c r="D116" t="s">
        <x:v>109</x:v>
      </x:c>
      <x:c r="E116" t="s">
        <x:v>472</x:v>
      </x:c>
      <x:c r="F116" t="s">
        <x:v>1595</x:v>
      </x:c>
      <x:c r="G116" t="s">
        <x:v>707</x:v>
      </x:c>
      <x:c r="H116" t="s">
        <x:v>31</x:v>
      </x:c>
      <x:c r="I116" s="5" t="s">
        <x:v>1546</x:v>
      </x:c>
      <x:c r="J116" t="s">
        <x:v>708</x:v>
      </x:c>
      <x:c r="K116" t="s">
        <x:v>115</x:v>
      </x:c>
      <x:c r="L116" t="s">
        <x:v>1457</x:v>
      </x:c>
      <x:c r="M116">
        <x:v>1</x:v>
      </x:c>
    </x:row>
    <x:row r="117">
      <x:c r="A117" t="s">
        <x:v>709</x:v>
      </x:c>
      <x:c r="B117" t="s">
        <x:v>711</x:v>
      </x:c>
      <x:c r="C117" t="s">
        <x:v>679</x:v>
      </x:c>
      <x:c r="D117" t="s">
        <x:v>109</x:v>
      </x:c>
      <x:c r="E117" t="s">
        <x:v>125</x:v>
      </x:c>
      <x:c r="F117" t="s">
        <x:v>1596</x:v>
      </x:c>
      <x:c r="G117" t="s">
        <x:v>712</x:v>
      </x:c>
      <x:c r="H117" t="s">
        <x:v>31</x:v>
      </x:c>
      <x:c r="I117" s="5" t="s">
        <x:v>1475</x:v>
      </x:c>
      <x:c r="J117" t="s">
        <x:v>713</x:v>
      </x:c>
      <x:c r="K117" t="s">
        <x:v>115</x:v>
      </x:c>
      <x:c r="L117" t="s">
        <x:v>1457</x:v>
      </x:c>
      <x:c r="M117">
        <x:v>1</x:v>
      </x:c>
    </x:row>
    <x:row r="118">
      <x:c r="A118" t="s">
        <x:v>714</x:v>
      </x:c>
      <x:c r="B118" t="s">
        <x:v>716</x:v>
      </x:c>
      <x:c r="C118" t="s">
        <x:v>679</x:v>
      </x:c>
      <x:c r="D118" t="s">
        <x:v>109</x:v>
      </x:c>
      <x:c r="E118" t="s">
        <x:v>37</x:v>
      </x:c>
      <x:c r="F118" t="s">
        <x:v>1597</x:v>
      </x:c>
      <x:c r="G118" t="s">
        <x:v>39</x:v>
      </x:c>
      <x:c r="H118" t="s">
        <x:v>31</x:v>
      </x:c>
      <x:c r="I118" s="5" t="s">
        <x:v>1500</x:v>
      </x:c>
      <x:c r="J118" t="s">
        <x:v>717</x:v>
      </x:c>
      <x:c r="K118" t="s">
        <x:v>115</x:v>
      </x:c>
      <x:c r="L118" t="s">
        <x:v>1457</x:v>
      </x:c>
      <x:c r="M118">
        <x:v>1</x:v>
      </x:c>
    </x:row>
    <x:row r="119">
      <x:c r="A119" t="s">
        <x:v>718</x:v>
      </x:c>
      <x:c r="B119" t="s">
        <x:v>722</x:v>
      </x:c>
      <x:c r="C119" t="s">
        <x:v>679</x:v>
      </x:c>
      <x:c r="D119" t="s">
        <x:v>109</x:v>
      </x:c>
      <x:c r="E119" t="s">
        <x:v>725</x:v>
      </x:c>
      <x:c r="F119" t="s">
        <x:v>1598</x:v>
      </x:c>
      <x:c r="G119" t="s">
        <x:v>726</x:v>
      </x:c>
      <x:c r="H119" t="s">
        <x:v>31</x:v>
      </x:c>
      <x:c r="I119" s="5" t="s">
        <x:v>1599</x:v>
      </x:c>
      <x:c r="J119" t="s">
        <x:v>727</x:v>
      </x:c>
      <x:c r="K119" t="s">
        <x:v>115</x:v>
      </x:c>
      <x:c r="L119" t="s">
        <x:v>1457</x:v>
      </x:c>
      <x:c r="M119">
        <x:v>1</x:v>
      </x:c>
    </x:row>
    <x:row r="120">
      <x:c r="A120" t="s">
        <x:v>728</x:v>
      </x:c>
      <x:c r="B120" t="s">
        <x:v>730</x:v>
      </x:c>
      <x:c r="C120" t="s">
        <x:v>679</x:v>
      </x:c>
      <x:c r="D120" t="s">
        <x:v>109</x:v>
      </x:c>
      <x:c r="E120" t="s">
        <x:v>725</x:v>
      </x:c>
      <x:c r="F120" t="s">
        <x:v>1600</x:v>
      </x:c>
      <x:c r="G120" t="s">
        <x:v>731</x:v>
      </x:c>
      <x:c r="H120" t="s">
        <x:v>31</x:v>
      </x:c>
      <x:c r="I120" s="5" t="s">
        <x:v>1599</x:v>
      </x:c>
      <x:c r="J120" t="s">
        <x:v>732</x:v>
      </x:c>
      <x:c r="K120" t="s">
        <x:v>115</x:v>
      </x:c>
      <x:c r="L120" t="s">
        <x:v>1457</x:v>
      </x:c>
      <x:c r="M120">
        <x:v>1</x:v>
      </x:c>
    </x:row>
    <x:row r="121">
      <x:c r="A121" t="s">
        <x:v>733</x:v>
      </x:c>
      <x:c r="B121" t="s">
        <x:v>735</x:v>
      </x:c>
      <x:c r="C121" t="s">
        <x:v>679</x:v>
      </x:c>
      <x:c r="D121" t="s">
        <x:v>109</x:v>
      </x:c>
      <x:c r="E121" t="s">
        <x:v>725</x:v>
      </x:c>
      <x:c r="F121" t="s">
        <x:v>1601</x:v>
      </x:c>
      <x:c r="G121" t="s">
        <x:v>736</x:v>
      </x:c>
      <x:c r="H121" t="s">
        <x:v>31</x:v>
      </x:c>
      <x:c r="I121" s="5" t="s">
        <x:v>1599</x:v>
      </x:c>
      <x:c r="J121" t="s">
        <x:v>737</x:v>
      </x:c>
      <x:c r="K121" t="s">
        <x:v>115</x:v>
      </x:c>
      <x:c r="L121" t="s">
        <x:v>1457</x:v>
      </x:c>
      <x:c r="M121">
        <x:v>1</x:v>
      </x:c>
    </x:row>
    <x:row r="122">
      <x:c r="A122" t="s">
        <x:v>738</x:v>
      </x:c>
      <x:c r="B122" t="s">
        <x:v>740</x:v>
      </x:c>
      <x:c r="C122" t="s">
        <x:v>679</x:v>
      </x:c>
      <x:c r="D122" t="s">
        <x:v>109</x:v>
      </x:c>
      <x:c r="E122" t="s">
        <x:v>725</x:v>
      </x:c>
      <x:c r="F122" t="s">
        <x:v>1602</x:v>
      </x:c>
      <x:c r="G122" t="s">
        <x:v>741</x:v>
      </x:c>
      <x:c r="H122" t="s">
        <x:v>31</x:v>
      </x:c>
      <x:c r="I122" s="5" t="s">
        <x:v>1599</x:v>
      </x:c>
      <x:c r="J122" t="s">
        <x:v>742</x:v>
      </x:c>
      <x:c r="K122" t="s">
        <x:v>115</x:v>
      </x:c>
      <x:c r="L122" t="s">
        <x:v>1457</x:v>
      </x:c>
      <x:c r="M122">
        <x:v>1</x:v>
      </x:c>
    </x:row>
    <x:row r="123">
      <x:c r="A123" t="s">
        <x:v>743</x:v>
      </x:c>
      <x:c r="B123" t="s">
        <x:v>745</x:v>
      </x:c>
      <x:c r="C123" t="s">
        <x:v>679</x:v>
      </x:c>
      <x:c r="D123" t="s">
        <x:v>109</x:v>
      </x:c>
      <x:c r="E123" t="s">
        <x:v>125</x:v>
      </x:c>
      <x:c r="F123" t="s">
        <x:v>1603</x:v>
      </x:c>
      <x:c r="G123" t="s">
        <x:v>746</x:v>
      </x:c>
      <x:c r="H123" t="s">
        <x:v>31</x:v>
      </x:c>
      <x:c r="I123" s="5" t="s">
        <x:v>1475</x:v>
      </x:c>
      <x:c r="J123" t="s">
        <x:v>747</x:v>
      </x:c>
      <x:c r="K123" t="s">
        <x:v>115</x:v>
      </x:c>
      <x:c r="L123" t="s">
        <x:v>1457</x:v>
      </x:c>
      <x:c r="M123">
        <x:v>1</x:v>
      </x:c>
    </x:row>
    <x:row r="124">
      <x:c r="A124" t="s">
        <x:v>748</x:v>
      </x:c>
      <x:c r="B124" t="s">
        <x:v>750</x:v>
      </x:c>
      <x:c r="C124" t="s">
        <x:v>679</x:v>
      </x:c>
      <x:c r="D124" t="s">
        <x:v>109</x:v>
      </x:c>
      <x:c r="E124" t="s">
        <x:v>125</x:v>
      </x:c>
      <x:c r="F124" t="s">
        <x:v>1604</x:v>
      </x:c>
      <x:c r="G124" t="s">
        <x:v>751</x:v>
      </x:c>
      <x:c r="H124" t="s">
        <x:v>31</x:v>
      </x:c>
      <x:c r="I124" s="5" t="s">
        <x:v>1475</x:v>
      </x:c>
      <x:c r="J124" t="s">
        <x:v>752</x:v>
      </x:c>
      <x:c r="K124" t="s">
        <x:v>115</x:v>
      </x:c>
      <x:c r="L124" t="s">
        <x:v>1457</x:v>
      </x:c>
      <x:c r="M124">
        <x:v>1</x:v>
      </x:c>
    </x:row>
    <x:row r="125">
      <x:c r="A125" t="s">
        <x:v>753</x:v>
      </x:c>
      <x:c r="B125" t="s">
        <x:v>477</x:v>
      </x:c>
      <x:c r="C125" t="s">
        <x:v>679</x:v>
      </x:c>
      <x:c r="D125" t="s">
        <x:v>109</x:v>
      </x:c>
      <x:c r="E125" t="s">
        <x:v>759</x:v>
      </x:c>
      <x:c r="F125" t="s">
        <x:v>1605</x:v>
      </x:c>
      <x:c r="G125" t="s">
        <x:v>760</x:v>
      </x:c>
      <x:c r="H125" t="s">
        <x:v>31</x:v>
      </x:c>
      <x:c r="I125" s="5" t="s">
        <x:v>1548</x:v>
      </x:c>
      <x:c r="J125" t="s">
        <x:v>761</x:v>
      </x:c>
      <x:c r="K125" t="s">
        <x:v>115</x:v>
      </x:c>
      <x:c r="L125" t="s">
        <x:v>1457</x:v>
      </x:c>
      <x:c r="M125">
        <x:v>1</x:v>
      </x:c>
    </x:row>
    <x:row r="126">
      <x:c r="A126" t="s">
        <x:v>762</x:v>
      </x:c>
      <x:c r="B126" t="s">
        <x:v>764</x:v>
      </x:c>
      <x:c r="C126" t="s">
        <x:v>679</x:v>
      </x:c>
      <x:c r="D126" t="s">
        <x:v>109</x:v>
      </x:c>
      <x:c r="E126" t="s">
        <x:v>265</x:v>
      </x:c>
      <x:c r="F126" t="s">
        <x:v>1606</x:v>
      </x:c>
      <x:c r="G126" t="s">
        <x:v>765</x:v>
      </x:c>
      <x:c r="H126" t="s">
        <x:v>31</x:v>
      </x:c>
      <x:c r="I126" s="5" t="s">
        <x:v>1505</x:v>
      </x:c>
      <x:c r="J126" t="s">
        <x:v>766</x:v>
      </x:c>
      <x:c r="K126" t="s">
        <x:v>115</x:v>
      </x:c>
      <x:c r="L126" t="s">
        <x:v>1457</x:v>
      </x:c>
      <x:c r="M126">
        <x:v>1</x:v>
      </x:c>
    </x:row>
    <x:row r="127">
      <x:c r="A127" t="s">
        <x:v>767</x:v>
      </x:c>
      <x:c r="B127" t="s">
        <x:v>771</x:v>
      </x:c>
      <x:c r="C127" t="s">
        <x:v>679</x:v>
      </x:c>
      <x:c r="D127" t="s">
        <x:v>109</x:v>
      </x:c>
      <x:c r="E127" t="s">
        <x:v>774</x:v>
      </x:c>
      <x:c r="F127" t="s">
        <x:v>1607</x:v>
      </x:c>
      <x:c r="G127" t="s">
        <x:v>775</x:v>
      </x:c>
      <x:c r="H127" t="s">
        <x:v>31</x:v>
      </x:c>
      <x:c r="I127" s="5" t="s">
        <x:v>1608</x:v>
      </x:c>
      <x:c r="J127" t="s">
        <x:v>776</x:v>
      </x:c>
      <x:c r="K127" t="s">
        <x:v>115</x:v>
      </x:c>
      <x:c r="L127" t="s">
        <x:v>1457</x:v>
      </x:c>
      <x:c r="M127">
        <x:v>1</x:v>
      </x:c>
    </x:row>
    <x:row r="128">
      <x:c r="A128" t="s">
        <x:v>777</x:v>
      </x:c>
      <x:c r="B128" t="s">
        <x:v>779</x:v>
      </x:c>
      <x:c r="C128" t="s">
        <x:v>679</x:v>
      </x:c>
      <x:c r="D128" t="s">
        <x:v>109</x:v>
      </x:c>
      <x:c r="E128" t="s">
        <x:v>250</x:v>
      </x:c>
      <x:c r="F128" t="s">
        <x:v>1609</x:v>
      </x:c>
      <x:c r="G128" t="s">
        <x:v>780</x:v>
      </x:c>
      <x:c r="H128" t="s">
        <x:v>31</x:v>
      </x:c>
      <x:c r="I128" s="5" t="s">
        <x:v>1502</x:v>
      </x:c>
      <x:c r="J128" t="s">
        <x:v>781</x:v>
      </x:c>
      <x:c r="K128" t="s">
        <x:v>115</x:v>
      </x:c>
      <x:c r="L128" t="s">
        <x:v>1457</x:v>
      </x:c>
      <x:c r="M128">
        <x:v>1</x:v>
      </x:c>
    </x:row>
    <x:row r="129">
      <x:c r="A129" t="s">
        <x:v>782</x:v>
      </x:c>
      <x:c r="B129" t="s">
        <x:v>34</x:v>
      </x:c>
      <x:c r="C129" t="s">
        <x:v>679</x:v>
      </x:c>
      <x:c r="D129" t="s">
        <x:v>109</x:v>
      </x:c>
      <x:c r="E129" t="s">
        <x:v>37</x:v>
      </x:c>
      <x:c r="F129" t="s">
        <x:v>1455</x:v>
      </x:c>
      <x:c r="G129" t="s">
        <x:v>784</x:v>
      </x:c>
      <x:c r="H129" t="s">
        <x:v>31</x:v>
      </x:c>
      <x:c r="I129" s="5" t="s">
        <x:v>1500</x:v>
      </x:c>
      <x:c r="J129" t="s">
        <x:v>785</x:v>
      </x:c>
      <x:c r="K129" t="s">
        <x:v>115</x:v>
      </x:c>
      <x:c r="L129" t="s">
        <x:v>1457</x:v>
      </x:c>
      <x:c r="M129">
        <x:v>1</x:v>
      </x:c>
    </x:row>
    <x:row r="130">
      <x:c r="A130" t="s">
        <x:v>786</x:v>
      </x:c>
      <x:c r="B130" t="s">
        <x:v>788</x:v>
      </x:c>
      <x:c r="C130" t="s">
        <x:v>679</x:v>
      </x:c>
      <x:c r="D130" t="s">
        <x:v>109</x:v>
      </x:c>
      <x:c r="E130" t="s">
        <x:v>37</x:v>
      </x:c>
      <x:c r="F130" t="s">
        <x:v>1610</x:v>
      </x:c>
      <x:c r="G130" t="s">
        <x:v>789</x:v>
      </x:c>
      <x:c r="H130" t="s">
        <x:v>31</x:v>
      </x:c>
      <x:c r="I130" s="5" t="s">
        <x:v>1500</x:v>
      </x:c>
      <x:c r="J130" t="s">
        <x:v>790</x:v>
      </x:c>
      <x:c r="K130" t="s">
        <x:v>115</x:v>
      </x:c>
      <x:c r="L130" t="s">
        <x:v>1457</x:v>
      </x:c>
      <x:c r="M130">
        <x:v>1</x:v>
      </x:c>
    </x:row>
    <x:row r="131">
      <x:c r="A131" t="s">
        <x:v>791</x:v>
      </x:c>
      <x:c r="B131" t="s">
        <x:v>793</x:v>
      </x:c>
      <x:c r="C131" t="s">
        <x:v>679</x:v>
      </x:c>
      <x:c r="D131" t="s">
        <x:v>109</x:v>
      </x:c>
      <x:c r="E131" t="s">
        <x:v>250</x:v>
      </x:c>
      <x:c r="F131" t="s">
        <x:v>1611</x:v>
      </x:c>
      <x:c r="G131" t="s">
        <x:v>794</x:v>
      </x:c>
      <x:c r="H131" t="s">
        <x:v>31</x:v>
      </x:c>
      <x:c r="I131" s="5" t="s">
        <x:v>1502</x:v>
      </x:c>
      <x:c r="J131" t="s">
        <x:v>795</x:v>
      </x:c>
      <x:c r="K131" t="s">
        <x:v>115</x:v>
      </x:c>
      <x:c r="L131" t="s">
        <x:v>1457</x:v>
      </x:c>
      <x:c r="M131">
        <x:v>1</x:v>
      </x:c>
    </x:row>
    <x:row r="132">
      <x:c r="A132" t="s">
        <x:v>796</x:v>
      </x:c>
      <x:c r="B132" t="s">
        <x:v>798</x:v>
      </x:c>
      <x:c r="C132" t="s">
        <x:v>679</x:v>
      </x:c>
      <x:c r="D132" t="s">
        <x:v>109</x:v>
      </x:c>
      <x:c r="E132" t="s">
        <x:v>133</x:v>
      </x:c>
      <x:c r="F132" t="s">
        <x:v>1612</x:v>
      </x:c>
      <x:c r="G132" t="s">
        <x:v>799</x:v>
      </x:c>
      <x:c r="H132" t="s">
        <x:v>31</x:v>
      </x:c>
      <x:c r="I132" s="5" t="s">
        <x:v>1613</x:v>
      </x:c>
      <x:c r="J132" t="s">
        <x:v>800</x:v>
      </x:c>
      <x:c r="K132" t="s">
        <x:v>115</x:v>
      </x:c>
      <x:c r="L132" t="s">
        <x:v>1457</x:v>
      </x:c>
      <x:c r="M132">
        <x:v>1</x:v>
      </x:c>
    </x:row>
    <x:row r="133">
      <x:c r="A133" t="s">
        <x:v>801</x:v>
      </x:c>
      <x:c r="B133" t="s">
        <x:v>803</x:v>
      </x:c>
      <x:c r="C133" t="s">
        <x:v>679</x:v>
      </x:c>
      <x:c r="D133" t="s">
        <x:v>109</x:v>
      </x:c>
      <x:c r="E133" t="s">
        <x:v>774</x:v>
      </x:c>
      <x:c r="F133" t="s">
        <x:v>1614</x:v>
      </x:c>
      <x:c r="G133" t="s">
        <x:v>804</x:v>
      </x:c>
      <x:c r="H133" t="s">
        <x:v>31</x:v>
      </x:c>
      <x:c r="I133" s="5" t="s">
        <x:v>1608</x:v>
      </x:c>
      <x:c r="J133" t="s">
        <x:v>805</x:v>
      </x:c>
      <x:c r="K133" t="s">
        <x:v>115</x:v>
      </x:c>
      <x:c r="L133" t="s">
        <x:v>1457</x:v>
      </x:c>
      <x:c r="M133">
        <x:v>1</x:v>
      </x:c>
    </x:row>
    <x:row r="134">
      <x:c r="A134" t="s">
        <x:v>806</x:v>
      </x:c>
      <x:c r="B134" t="s">
        <x:v>808</x:v>
      </x:c>
      <x:c r="C134" t="s">
        <x:v>679</x:v>
      </x:c>
      <x:c r="D134" t="s">
        <x:v>109</x:v>
      </x:c>
      <x:c r="E134" t="s">
        <x:v>774</x:v>
      </x:c>
      <x:c r="F134" t="s">
        <x:v>1615</x:v>
      </x:c>
      <x:c r="G134" t="s">
        <x:v>809</x:v>
      </x:c>
      <x:c r="H134" t="s">
        <x:v>31</x:v>
      </x:c>
      <x:c r="I134" s="5" t="s">
        <x:v>1608</x:v>
      </x:c>
      <x:c r="J134" t="s">
        <x:v>810</x:v>
      </x:c>
      <x:c r="K134" t="s">
        <x:v>115</x:v>
      </x:c>
      <x:c r="L134" t="s">
        <x:v>1457</x:v>
      </x:c>
      <x:c r="M134">
        <x:v>1</x:v>
      </x:c>
    </x:row>
    <x:row r="135">
      <x:c r="A135" t="s">
        <x:v>811</x:v>
      </x:c>
      <x:c r="B135" t="s">
        <x:v>813</x:v>
      </x:c>
      <x:c r="C135" t="s">
        <x:v>679</x:v>
      </x:c>
      <x:c r="D135" t="s">
        <x:v>109</x:v>
      </x:c>
      <x:c r="E135" t="s">
        <x:v>250</x:v>
      </x:c>
      <x:c r="F135" t="s">
        <x:v>1616</x:v>
      </x:c>
      <x:c r="G135" t="s">
        <x:v>814</x:v>
      </x:c>
      <x:c r="H135" t="s">
        <x:v>31</x:v>
      </x:c>
      <x:c r="I135" s="5" t="s">
        <x:v>1502</x:v>
      </x:c>
      <x:c r="J135" t="s">
        <x:v>815</x:v>
      </x:c>
      <x:c r="K135" t="s">
        <x:v>115</x:v>
      </x:c>
      <x:c r="L135" t="s">
        <x:v>1457</x:v>
      </x:c>
      <x:c r="M135">
        <x:v>1</x:v>
      </x:c>
    </x:row>
    <x:row r="136">
      <x:c r="A136" t="s">
        <x:v>816</x:v>
      </x:c>
      <x:c r="B136" t="s">
        <x:v>818</x:v>
      </x:c>
      <x:c r="C136" t="s">
        <x:v>679</x:v>
      </x:c>
      <x:c r="D136" t="s">
        <x:v>109</x:v>
      </x:c>
      <x:c r="E136" t="s">
        <x:v>133</x:v>
      </x:c>
      <x:c r="F136" t="s">
        <x:v>1617</x:v>
      </x:c>
      <x:c r="G136" t="s">
        <x:v>819</x:v>
      </x:c>
      <x:c r="H136" t="s">
        <x:v>31</x:v>
      </x:c>
      <x:c r="I136" s="5" t="s">
        <x:v>1618</x:v>
      </x:c>
      <x:c r="J136" t="s">
        <x:v>820</x:v>
      </x:c>
      <x:c r="K136" t="s">
        <x:v>115</x:v>
      </x:c>
      <x:c r="L136" t="s">
        <x:v>1457</x:v>
      </x:c>
      <x:c r="M136">
        <x:v>1</x:v>
      </x:c>
    </x:row>
    <x:row r="137">
      <x:c r="A137" t="s">
        <x:v>821</x:v>
      </x:c>
      <x:c r="B137" t="s">
        <x:v>823</x:v>
      </x:c>
      <x:c r="C137" t="s">
        <x:v>679</x:v>
      </x:c>
      <x:c r="D137" t="s">
        <x:v>109</x:v>
      </x:c>
      <x:c r="E137" t="s">
        <x:v>265</x:v>
      </x:c>
      <x:c r="F137" t="s">
        <x:v>1619</x:v>
      </x:c>
      <x:c r="G137" t="s">
        <x:v>824</x:v>
      </x:c>
      <x:c r="H137" t="s">
        <x:v>31</x:v>
      </x:c>
      <x:c r="I137" s="5" t="s">
        <x:v>1620</x:v>
      </x:c>
      <x:c r="J137" t="s">
        <x:v>825</x:v>
      </x:c>
      <x:c r="K137" t="s">
        <x:v>115</x:v>
      </x:c>
      <x:c r="L137" t="s">
        <x:v>1457</x:v>
      </x:c>
      <x:c r="M137">
        <x:v>1</x:v>
      </x:c>
    </x:row>
    <x:row r="138">
      <x:c r="A138" t="s">
        <x:v>826</x:v>
      </x:c>
      <x:c r="B138" t="s">
        <x:v>828</x:v>
      </x:c>
      <x:c r="C138" t="s">
        <x:v>679</x:v>
      </x:c>
      <x:c r="D138" t="s">
        <x:v>109</x:v>
      </x:c>
      <x:c r="E138" t="s">
        <x:v>265</x:v>
      </x:c>
      <x:c r="F138" t="s">
        <x:v>1621</x:v>
      </x:c>
      <x:c r="G138" t="s">
        <x:v>829</x:v>
      </x:c>
      <x:c r="H138" t="s">
        <x:v>31</x:v>
      </x:c>
      <x:c r="I138" s="5" t="s">
        <x:v>1622</x:v>
      </x:c>
      <x:c r="J138" t="s">
        <x:v>830</x:v>
      </x:c>
      <x:c r="K138" t="s">
        <x:v>115</x:v>
      </x:c>
      <x:c r="L138" t="s">
        <x:v>1457</x:v>
      </x:c>
      <x:c r="M138">
        <x:v>1</x:v>
      </x:c>
    </x:row>
    <x:row r="139">
      <x:c r="A139" t="s">
        <x:v>831</x:v>
      </x:c>
      <x:c r="B139" t="s">
        <x:v>835</x:v>
      </x:c>
      <x:c r="C139" t="s">
        <x:v>679</x:v>
      </x:c>
      <x:c r="D139" t="s">
        <x:v>109</x:v>
      </x:c>
      <x:c r="E139" t="s">
        <x:v>838</x:v>
      </x:c>
      <x:c r="F139" t="s">
        <x:v>1623</x:v>
      </x:c>
      <x:c r="G139" t="s">
        <x:v>839</x:v>
      </x:c>
      <x:c r="H139" t="s">
        <x:v>31</x:v>
      </x:c>
      <x:c r="I139" s="5" t="s">
        <x:v>1624</x:v>
      </x:c>
      <x:c r="J139" t="s">
        <x:v>840</x:v>
      </x:c>
      <x:c r="K139" t="s">
        <x:v>115</x:v>
      </x:c>
      <x:c r="L139" t="s">
        <x:v>1457</x:v>
      </x:c>
      <x:c r="M139">
        <x:v>1</x:v>
      </x:c>
    </x:row>
    <x:row r="140">
      <x:c r="A140" t="s">
        <x:v>841</x:v>
      </x:c>
      <x:c r="B140" t="s">
        <x:v>843</x:v>
      </x:c>
      <x:c r="C140" t="s">
        <x:v>679</x:v>
      </x:c>
      <x:c r="D140" t="s">
        <x:v>109</x:v>
      </x:c>
      <x:c r="E140" t="s">
        <x:v>759</x:v>
      </x:c>
      <x:c r="F140" t="s">
        <x:v>1625</x:v>
      </x:c>
      <x:c r="G140" t="s">
        <x:v>844</x:v>
      </x:c>
      <x:c r="H140" t="s">
        <x:v>31</x:v>
      </x:c>
      <x:c r="I140" s="5" t="s">
        <x:v>1626</x:v>
      </x:c>
      <x:c r="J140" t="s">
        <x:v>845</x:v>
      </x:c>
      <x:c r="K140" t="s">
        <x:v>115</x:v>
      </x:c>
      <x:c r="L140" t="s">
        <x:v>1457</x:v>
      </x:c>
      <x:c r="M140">
        <x:v>1</x:v>
      </x:c>
    </x:row>
    <x:row r="141">
      <x:c r="A141" t="s">
        <x:v>846</x:v>
      </x:c>
      <x:c r="B141" t="s">
        <x:v>848</x:v>
      </x:c>
      <x:c r="C141" t="s">
        <x:v>679</x:v>
      </x:c>
      <x:c r="D141" t="s">
        <x:v>109</x:v>
      </x:c>
      <x:c r="E141" t="s">
        <x:v>759</x:v>
      </x:c>
      <x:c r="F141" t="s">
        <x:v>1627</x:v>
      </x:c>
      <x:c r="G141" t="s">
        <x:v>849</x:v>
      </x:c>
      <x:c r="H141" t="s">
        <x:v>31</x:v>
      </x:c>
      <x:c r="I141" s="5" t="s">
        <x:v>1628</x:v>
      </x:c>
      <x:c r="J141" t="s">
        <x:v>850</x:v>
      </x:c>
      <x:c r="K141" t="s">
        <x:v>115</x:v>
      </x:c>
      <x:c r="L141" t="s">
        <x:v>1457</x:v>
      </x:c>
      <x:c r="M141">
        <x:v>1</x:v>
      </x:c>
    </x:row>
    <x:row r="142">
      <x:c r="A142" t="s">
        <x:v>851</x:v>
      </x:c>
      <x:c r="B142" t="s">
        <x:v>853</x:v>
      </x:c>
      <x:c r="C142" t="s">
        <x:v>679</x:v>
      </x:c>
      <x:c r="D142" t="s">
        <x:v>109</x:v>
      </x:c>
      <x:c r="E142" t="s">
        <x:v>305</x:v>
      </x:c>
      <x:c r="F142" t="s">
        <x:v>1629</x:v>
      </x:c>
      <x:c r="G142" t="s">
        <x:v>854</x:v>
      </x:c>
      <x:c r="H142" t="s">
        <x:v>31</x:v>
      </x:c>
      <x:c r="I142" s="5" t="s">
        <x:v>1630</x:v>
      </x:c>
      <x:c r="J142" t="s">
        <x:v>855</x:v>
      </x:c>
      <x:c r="K142" t="s">
        <x:v>115</x:v>
      </x:c>
      <x:c r="L142" t="s">
        <x:v>1457</x:v>
      </x:c>
      <x:c r="M142">
        <x:v>1</x:v>
      </x:c>
    </x:row>
    <x:row r="143">
      <x:c r="A143" t="s">
        <x:v>856</x:v>
      </x:c>
      <x:c r="B143" t="s">
        <x:v>858</x:v>
      </x:c>
      <x:c r="C143" t="s">
        <x:v>679</x:v>
      </x:c>
      <x:c r="D143" t="s">
        <x:v>109</x:v>
      </x:c>
      <x:c r="E143" t="s">
        <x:v>143</x:v>
      </x:c>
      <x:c r="F143" t="s">
        <x:v>1631</x:v>
      </x:c>
      <x:c r="G143" t="s">
        <x:v>859</x:v>
      </x:c>
      <x:c r="H143" t="s">
        <x:v>31</x:v>
      </x:c>
      <x:c r="I143" s="5" t="s">
        <x:v>1479</x:v>
      </x:c>
      <x:c r="J143" t="s">
        <x:v>860</x:v>
      </x:c>
      <x:c r="K143" t="s">
        <x:v>115</x:v>
      </x:c>
      <x:c r="L143" t="s">
        <x:v>1457</x:v>
      </x:c>
      <x:c r="M143">
        <x:v>1</x:v>
      </x:c>
    </x:row>
    <x:row r="144">
      <x:c r="A144" t="s">
        <x:v>861</x:v>
      </x:c>
      <x:c r="B144" t="s">
        <x:v>863</x:v>
      </x:c>
      <x:c r="C144" t="s">
        <x:v>679</x:v>
      </x:c>
      <x:c r="D144" t="s">
        <x:v>109</x:v>
      </x:c>
      <x:c r="E144" t="s">
        <x:v>143</x:v>
      </x:c>
      <x:c r="F144" t="s">
        <x:v>1632</x:v>
      </x:c>
      <x:c r="G144" t="s">
        <x:v>864</x:v>
      </x:c>
      <x:c r="H144" t="s">
        <x:v>31</x:v>
      </x:c>
      <x:c r="I144" s="5" t="s">
        <x:v>1479</x:v>
      </x:c>
      <x:c r="J144" t="s">
        <x:v>865</x:v>
      </x:c>
      <x:c r="K144" t="s">
        <x:v>115</x:v>
      </x:c>
      <x:c r="L144" t="s">
        <x:v>1457</x:v>
      </x:c>
      <x:c r="M144">
        <x:v>1</x:v>
      </x:c>
    </x:row>
    <x:row r="145">
      <x:c r="A145" t="s">
        <x:v>866</x:v>
      </x:c>
      <x:c r="B145" t="s">
        <x:v>868</x:v>
      </x:c>
      <x:c r="C145" t="s">
        <x:v>679</x:v>
      </x:c>
      <x:c r="D145" t="s">
        <x:v>109</x:v>
      </x:c>
      <x:c r="E145" t="s">
        <x:v>838</x:v>
      </x:c>
      <x:c r="F145" t="s">
        <x:v>1633</x:v>
      </x:c>
      <x:c r="G145" t="s">
        <x:v>869</x:v>
      </x:c>
      <x:c r="H145" t="s">
        <x:v>31</x:v>
      </x:c>
      <x:c r="I145" s="5" t="s">
        <x:v>1553</x:v>
      </x:c>
      <x:c r="J145" t="s">
        <x:v>870</x:v>
      </x:c>
      <x:c r="K145" t="s">
        <x:v>115</x:v>
      </x:c>
      <x:c r="L145" t="s">
        <x:v>1457</x:v>
      </x:c>
      <x:c r="M145">
        <x:v>1</x:v>
      </x:c>
    </x:row>
    <x:row r="146">
      <x:c r="A146" t="s">
        <x:v>871</x:v>
      </x:c>
      <x:c r="B146" t="s">
        <x:v>873</x:v>
      </x:c>
      <x:c r="C146" t="s">
        <x:v>679</x:v>
      </x:c>
      <x:c r="D146" t="s">
        <x:v>109</x:v>
      </x:c>
      <x:c r="E146" t="s">
        <x:v>275</x:v>
      </x:c>
      <x:c r="F146" t="s">
        <x:v>1634</x:v>
      </x:c>
      <x:c r="G146" t="s">
        <x:v>874</x:v>
      </x:c>
      <x:c r="H146" t="s">
        <x:v>31</x:v>
      </x:c>
      <x:c r="I146" s="5" t="s">
        <x:v>1507</x:v>
      </x:c>
      <x:c r="J146" t="s">
        <x:v>875</x:v>
      </x:c>
      <x:c r="K146" t="s">
        <x:v>115</x:v>
      </x:c>
      <x:c r="L146" t="s">
        <x:v>1457</x:v>
      </x:c>
      <x:c r="M146">
        <x:v>1</x:v>
      </x:c>
    </x:row>
    <x:row r="147">
      <x:c r="A147" t="s">
        <x:v>876</x:v>
      </x:c>
      <x:c r="B147" t="s">
        <x:v>878</x:v>
      </x:c>
      <x:c r="C147" t="s">
        <x:v>679</x:v>
      </x:c>
      <x:c r="D147" t="s">
        <x:v>109</x:v>
      </x:c>
      <x:c r="E147" t="s">
        <x:v>275</x:v>
      </x:c>
      <x:c r="F147" t="s">
        <x:v>1635</x:v>
      </x:c>
      <x:c r="G147" t="s">
        <x:v>879</x:v>
      </x:c>
      <x:c r="H147" t="s">
        <x:v>31</x:v>
      </x:c>
      <x:c r="I147" s="5" t="s">
        <x:v>1507</x:v>
      </x:c>
      <x:c r="J147" t="s">
        <x:v>880</x:v>
      </x:c>
      <x:c r="K147" t="s">
        <x:v>115</x:v>
      </x:c>
      <x:c r="L147" t="s">
        <x:v>1457</x:v>
      </x:c>
      <x:c r="M147">
        <x:v>1</x:v>
      </x:c>
    </x:row>
    <x:row r="148">
      <x:c r="A148" t="s">
        <x:v>881</x:v>
      </x:c>
      <x:c r="B148" t="s">
        <x:v>488</x:v>
      </x:c>
      <x:c r="C148" t="s">
        <x:v>679</x:v>
      </x:c>
      <x:c r="D148" t="s">
        <x:v>109</x:v>
      </x:c>
      <x:c r="E148" t="s">
        <x:v>838</x:v>
      </x:c>
      <x:c r="F148" t="s">
        <x:v>1636</x:v>
      </x:c>
      <x:c r="G148" t="s">
        <x:v>883</x:v>
      </x:c>
      <x:c r="H148" t="s">
        <x:v>31</x:v>
      </x:c>
      <x:c r="I148" s="5" t="s">
        <x:v>1553</x:v>
      </x:c>
      <x:c r="J148" t="s">
        <x:v>884</x:v>
      </x:c>
      <x:c r="K148" t="s">
        <x:v>115</x:v>
      </x:c>
      <x:c r="L148" t="s">
        <x:v>1457</x:v>
      </x:c>
      <x:c r="M148">
        <x:v>1</x:v>
      </x:c>
    </x:row>
    <x:row r="149">
      <x:c r="A149" t="s">
        <x:v>885</x:v>
      </x:c>
      <x:c r="B149" t="s">
        <x:v>887</x:v>
      </x:c>
      <x:c r="C149" t="s">
        <x:v>679</x:v>
      </x:c>
      <x:c r="D149" t="s">
        <x:v>109</x:v>
      </x:c>
      <x:c r="E149" t="s">
        <x:v>233</x:v>
      </x:c>
      <x:c r="F149" t="s">
        <x:v>1637</x:v>
      </x:c>
      <x:c r="G149" t="s">
        <x:v>888</x:v>
      </x:c>
      <x:c r="H149" t="s">
        <x:v>31</x:v>
      </x:c>
      <x:c r="I149" s="5" t="s">
        <x:v>1498</x:v>
      </x:c>
      <x:c r="J149" t="s">
        <x:v>889</x:v>
      </x:c>
      <x:c r="K149" t="s">
        <x:v>115</x:v>
      </x:c>
      <x:c r="L149" t="s">
        <x:v>1457</x:v>
      </x:c>
      <x:c r="M149">
        <x:v>1</x:v>
      </x:c>
    </x:row>
    <x:row r="150">
      <x:c r="A150" t="s">
        <x:v>890</x:v>
      </x:c>
      <x:c r="B150" t="s">
        <x:v>892</x:v>
      </x:c>
      <x:c r="C150" t="s">
        <x:v>679</x:v>
      </x:c>
      <x:c r="D150" t="s">
        <x:v>109</x:v>
      </x:c>
      <x:c r="E150" t="s">
        <x:v>223</x:v>
      </x:c>
      <x:c r="F150" t="s">
        <x:v>1638</x:v>
      </x:c>
      <x:c r="G150" t="s">
        <x:v>893</x:v>
      </x:c>
      <x:c r="H150" t="s">
        <x:v>31</x:v>
      </x:c>
      <x:c r="I150" s="5" t="s">
        <x:v>1496</x:v>
      </x:c>
      <x:c r="J150" t="s">
        <x:v>894</x:v>
      </x:c>
      <x:c r="K150" t="s">
        <x:v>115</x:v>
      </x:c>
      <x:c r="L150" t="s">
        <x:v>1457</x:v>
      </x:c>
      <x:c r="M150">
        <x:v>1</x:v>
      </x:c>
    </x:row>
    <x:row r="151">
      <x:c r="A151" t="s">
        <x:v>895</x:v>
      </x:c>
      <x:c r="B151" t="s">
        <x:v>897</x:v>
      </x:c>
      <x:c r="C151" t="s">
        <x:v>679</x:v>
      </x:c>
      <x:c r="D151" t="s">
        <x:v>109</x:v>
      </x:c>
      <x:c r="E151" t="s">
        <x:v>223</x:v>
      </x:c>
      <x:c r="F151" t="s">
        <x:v>1639</x:v>
      </x:c>
      <x:c r="G151" t="s">
        <x:v>898</x:v>
      </x:c>
      <x:c r="H151" t="s">
        <x:v>31</x:v>
      </x:c>
      <x:c r="I151" s="5" t="s">
        <x:v>1496</x:v>
      </x:c>
      <x:c r="J151" t="s">
        <x:v>899</x:v>
      </x:c>
      <x:c r="K151" t="s">
        <x:v>115</x:v>
      </x:c>
      <x:c r="L151" t="s">
        <x:v>1457</x:v>
      </x:c>
      <x:c r="M151">
        <x:v>1</x:v>
      </x:c>
    </x:row>
    <x:row r="152">
      <x:c r="A152" t="s">
        <x:v>900</x:v>
      </x:c>
      <x:c r="B152" t="s">
        <x:v>902</x:v>
      </x:c>
      <x:c r="C152" t="s">
        <x:v>679</x:v>
      </x:c>
      <x:c r="D152" t="s">
        <x:v>109</x:v>
      </x:c>
      <x:c r="E152" t="s">
        <x:v>905</x:v>
      </x:c>
      <x:c r="F152" t="s">
        <x:v>1640</x:v>
      </x:c>
      <x:c r="G152" t="s">
        <x:v>251</x:v>
      </x:c>
      <x:c r="H152" t="s">
        <x:v>31</x:v>
      </x:c>
      <x:c r="I152" s="5" t="s">
        <x:v>1481</x:v>
      </x:c>
      <x:c r="J152" t="s">
        <x:v>906</x:v>
      </x:c>
      <x:c r="K152" t="s">
        <x:v>115</x:v>
      </x:c>
      <x:c r="L152" t="s">
        <x:v>1457</x:v>
      </x:c>
      <x:c r="M152">
        <x:v>1</x:v>
      </x:c>
    </x:row>
    <x:row r="153">
      <x:c r="A153" t="s">
        <x:v>907</x:v>
      </x:c>
      <x:c r="B153" t="s">
        <x:v>909</x:v>
      </x:c>
      <x:c r="C153" t="s">
        <x:v>679</x:v>
      </x:c>
      <x:c r="D153" t="s">
        <x:v>109</x:v>
      </x:c>
      <x:c r="E153" t="s">
        <x:v>905</x:v>
      </x:c>
      <x:c r="F153" t="s">
        <x:v>1641</x:v>
      </x:c>
      <x:c r="G153" t="s">
        <x:v>910</x:v>
      </x:c>
      <x:c r="H153" t="s">
        <x:v>31</x:v>
      </x:c>
      <x:c r="I153" s="5" t="s">
        <x:v>1481</x:v>
      </x:c>
      <x:c r="J153" t="s">
        <x:v>911</x:v>
      </x:c>
      <x:c r="K153" t="s">
        <x:v>115</x:v>
      </x:c>
      <x:c r="L153" t="s">
        <x:v>1457</x:v>
      </x:c>
      <x:c r="M153">
        <x:v>1</x:v>
      </x:c>
    </x:row>
    <x:row r="154">
      <x:c r="A154" t="s">
        <x:v>912</x:v>
      </x:c>
      <x:c r="B154" t="s">
        <x:v>914</x:v>
      </x:c>
      <x:c r="C154" t="s">
        <x:v>679</x:v>
      </x:c>
      <x:c r="D154" t="s">
        <x:v>109</x:v>
      </x:c>
      <x:c r="E154" t="s">
        <x:v>905</x:v>
      </x:c>
      <x:c r="F154" t="s">
        <x:v>1642</x:v>
      </x:c>
      <x:c r="G154" t="s">
        <x:v>915</x:v>
      </x:c>
      <x:c r="H154" t="s">
        <x:v>31</x:v>
      </x:c>
      <x:c r="I154" s="5" t="s">
        <x:v>1481</x:v>
      </x:c>
      <x:c r="J154" t="s">
        <x:v>916</x:v>
      </x:c>
      <x:c r="K154" t="s">
        <x:v>115</x:v>
      </x:c>
      <x:c r="L154" t="s">
        <x:v>1457</x:v>
      </x:c>
      <x:c r="M154">
        <x:v>1</x:v>
      </x:c>
    </x:row>
    <x:row r="155">
      <x:c r="A155" t="s">
        <x:v>917</x:v>
      </x:c>
      <x:c r="B155" t="s">
        <x:v>919</x:v>
      </x:c>
      <x:c r="C155" t="s">
        <x:v>679</x:v>
      </x:c>
      <x:c r="D155" t="s">
        <x:v>109</x:v>
      </x:c>
      <x:c r="E155" t="s">
        <x:v>153</x:v>
      </x:c>
      <x:c r="F155" t="s">
        <x:v>1643</x:v>
      </x:c>
      <x:c r="G155" t="s">
        <x:v>920</x:v>
      </x:c>
      <x:c r="H155" t="s">
        <x:v>31</x:v>
      </x:c>
      <x:c r="I155" s="5" t="s">
        <x:v>1481</x:v>
      </x:c>
      <x:c r="J155" t="s">
        <x:v>921</x:v>
      </x:c>
      <x:c r="K155" t="s">
        <x:v>115</x:v>
      </x:c>
      <x:c r="L155" t="s">
        <x:v>1457</x:v>
      </x:c>
      <x:c r="M155">
        <x:v>1</x:v>
      </x:c>
    </x:row>
    <x:row r="156">
      <x:c r="A156" t="s">
        <x:v>922</x:v>
      </x:c>
      <x:c r="B156" t="s">
        <x:v>924</x:v>
      </x:c>
      <x:c r="C156" t="s">
        <x:v>679</x:v>
      </x:c>
      <x:c r="D156" t="s">
        <x:v>109</x:v>
      </x:c>
      <x:c r="E156" t="s">
        <x:v>153</x:v>
      </x:c>
      <x:c r="F156" t="s">
        <x:v>1644</x:v>
      </x:c>
      <x:c r="G156" t="s">
        <x:v>910</x:v>
      </x:c>
      <x:c r="H156" t="s">
        <x:v>31</x:v>
      </x:c>
      <x:c r="I156" s="5" t="s">
        <x:v>1481</x:v>
      </x:c>
      <x:c r="J156" t="s">
        <x:v>925</x:v>
      </x:c>
      <x:c r="K156" t="s">
        <x:v>115</x:v>
      </x:c>
      <x:c r="L156" t="s">
        <x:v>1457</x:v>
      </x:c>
      <x:c r="M156">
        <x:v>1</x:v>
      </x:c>
    </x:row>
    <x:row r="157">
      <x:c r="A157" t="s">
        <x:v>926</x:v>
      </x:c>
      <x:c r="B157" t="s">
        <x:v>928</x:v>
      </x:c>
      <x:c r="C157" t="s">
        <x:v>679</x:v>
      </x:c>
      <x:c r="D157" t="s">
        <x:v>109</x:v>
      </x:c>
      <x:c r="E157" t="s">
        <x:v>285</x:v>
      </x:c>
      <x:c r="F157" t="s">
        <x:v>1645</x:v>
      </x:c>
      <x:c r="G157" t="s">
        <x:v>929</x:v>
      </x:c>
      <x:c r="H157" t="s">
        <x:v>31</x:v>
      </x:c>
      <x:c r="I157" s="5" t="s">
        <x:v>1509</x:v>
      </x:c>
      <x:c r="J157" t="s">
        <x:v>930</x:v>
      </x:c>
      <x:c r="K157" t="s">
        <x:v>115</x:v>
      </x:c>
      <x:c r="L157" t="s">
        <x:v>1457</x:v>
      </x:c>
      <x:c r="M157">
        <x:v>1</x:v>
      </x:c>
    </x:row>
    <x:row r="158">
      <x:c r="A158" t="s">
        <x:v>931</x:v>
      </x:c>
      <x:c r="B158" t="s">
        <x:v>933</x:v>
      </x:c>
      <x:c r="C158" t="s">
        <x:v>679</x:v>
      </x:c>
      <x:c r="D158" t="s">
        <x:v>109</x:v>
      </x:c>
      <x:c r="E158" t="s">
        <x:v>285</x:v>
      </x:c>
      <x:c r="F158" t="s">
        <x:v>1646</x:v>
      </x:c>
      <x:c r="G158" t="s">
        <x:v>934</x:v>
      </x:c>
      <x:c r="H158" t="s">
        <x:v>31</x:v>
      </x:c>
      <x:c r="I158" s="5" t="s">
        <x:v>1509</x:v>
      </x:c>
      <x:c r="J158" t="s">
        <x:v>935</x:v>
      </x:c>
      <x:c r="K158" t="s">
        <x:v>115</x:v>
      </x:c>
      <x:c r="L158" t="s">
        <x:v>1457</x:v>
      </x:c>
      <x:c r="M158">
        <x:v>1</x:v>
      </x:c>
    </x:row>
    <x:row r="159">
      <x:c r="A159" t="s">
        <x:v>936</x:v>
      </x:c>
      <x:c r="B159" t="s">
        <x:v>938</x:v>
      </x:c>
      <x:c r="C159" t="s">
        <x:v>679</x:v>
      </x:c>
      <x:c r="D159" t="s">
        <x:v>109</x:v>
      </x:c>
      <x:c r="E159" t="s">
        <x:v>941</x:v>
      </x:c>
      <x:c r="F159" t="s">
        <x:v>1647</x:v>
      </x:c>
      <x:c r="G159" t="s">
        <x:v>942</x:v>
      </x:c>
      <x:c r="H159" t="s">
        <x:v>31</x:v>
      </x:c>
      <x:c r="I159" s="5" t="s">
        <x:v>1481</x:v>
      </x:c>
      <x:c r="J159" t="s">
        <x:v>943</x:v>
      </x:c>
      <x:c r="K159" t="s">
        <x:v>115</x:v>
      </x:c>
      <x:c r="L159" t="s">
        <x:v>1457</x:v>
      </x:c>
      <x:c r="M159">
        <x:v>1</x:v>
      </x:c>
    </x:row>
    <x:row r="160">
      <x:c r="A160" t="s">
        <x:v>944</x:v>
      </x:c>
      <x:c r="B160" t="s">
        <x:v>946</x:v>
      </x:c>
      <x:c r="C160" t="s">
        <x:v>679</x:v>
      </x:c>
      <x:c r="D160" t="s">
        <x:v>109</x:v>
      </x:c>
      <x:c r="E160" t="s">
        <x:v>153</x:v>
      </x:c>
      <x:c r="F160" t="s">
        <x:v>1648</x:v>
      </x:c>
      <x:c r="G160" t="s">
        <x:v>947</x:v>
      </x:c>
      <x:c r="H160" t="s">
        <x:v>31</x:v>
      </x:c>
      <x:c r="I160" s="5" t="s">
        <x:v>1481</x:v>
      </x:c>
      <x:c r="J160" t="s">
        <x:v>948</x:v>
      </x:c>
      <x:c r="K160" t="s">
        <x:v>115</x:v>
      </x:c>
      <x:c r="L160" t="s">
        <x:v>1457</x:v>
      </x:c>
      <x:c r="M160">
        <x:v>1</x:v>
      </x:c>
    </x:row>
    <x:row r="161">
      <x:c r="A161" t="s">
        <x:v>949</x:v>
      </x:c>
      <x:c r="B161" t="s">
        <x:v>951</x:v>
      </x:c>
      <x:c r="C161" t="s">
        <x:v>679</x:v>
      </x:c>
      <x:c r="D161" t="s">
        <x:v>109</x:v>
      </x:c>
      <x:c r="E161" t="s">
        <x:v>285</x:v>
      </x:c>
      <x:c r="F161" t="s">
        <x:v>1649</x:v>
      </x:c>
      <x:c r="G161" t="s">
        <x:v>952</x:v>
      </x:c>
      <x:c r="H161" t="s">
        <x:v>31</x:v>
      </x:c>
      <x:c r="I161" s="5" t="s">
        <x:v>1509</x:v>
      </x:c>
      <x:c r="J161" t="s">
        <x:v>953</x:v>
      </x:c>
      <x:c r="K161" t="s">
        <x:v>115</x:v>
      </x:c>
      <x:c r="L161" t="s">
        <x:v>1457</x:v>
      </x:c>
      <x:c r="M161">
        <x:v>1</x:v>
      </x:c>
    </x:row>
    <x:row r="162">
      <x:c r="A162" t="s">
        <x:v>954</x:v>
      </x:c>
      <x:c r="B162" t="s">
        <x:v>956</x:v>
      </x:c>
      <x:c r="C162" t="s">
        <x:v>679</x:v>
      </x:c>
      <x:c r="D162" t="s">
        <x:v>109</x:v>
      </x:c>
      <x:c r="E162" t="s">
        <x:v>285</x:v>
      </x:c>
      <x:c r="F162" t="s">
        <x:v>1650</x:v>
      </x:c>
      <x:c r="G162" t="s">
        <x:v>957</x:v>
      </x:c>
      <x:c r="H162" t="s">
        <x:v>31</x:v>
      </x:c>
      <x:c r="I162" s="5" t="s">
        <x:v>1509</x:v>
      </x:c>
      <x:c r="J162" t="s">
        <x:v>958</x:v>
      </x:c>
      <x:c r="K162" t="s">
        <x:v>115</x:v>
      </x:c>
      <x:c r="L162" t="s">
        <x:v>1457</x:v>
      </x:c>
      <x:c r="M162">
        <x:v>1</x:v>
      </x:c>
    </x:row>
    <x:row r="163">
      <x:c r="A163" t="s">
        <x:v>959</x:v>
      </x:c>
      <x:c r="B163" t="s">
        <x:v>843</x:v>
      </x:c>
      <x:c r="C163" t="s">
        <x:v>679</x:v>
      </x:c>
      <x:c r="D163" t="s">
        <x:v>109</x:v>
      </x:c>
      <x:c r="E163" t="s">
        <x:v>941</x:v>
      </x:c>
      <x:c r="F163" t="s">
        <x:v>1651</x:v>
      </x:c>
      <x:c r="G163" t="s">
        <x:v>961</x:v>
      </x:c>
      <x:c r="H163" t="s">
        <x:v>31</x:v>
      </x:c>
      <x:c r="I163" s="5" t="s">
        <x:v>1652</x:v>
      </x:c>
      <x:c r="J163" t="s">
        <x:v>962</x:v>
      </x:c>
      <x:c r="K163" t="s">
        <x:v>115</x:v>
      </x:c>
      <x:c r="L163" t="s">
        <x:v>1457</x:v>
      </x:c>
      <x:c r="M163">
        <x:v>1</x:v>
      </x:c>
    </x:row>
    <x:row r="164">
      <x:c r="A164" t="s">
        <x:v>963</x:v>
      </x:c>
      <x:c r="B164" t="s">
        <x:v>562</x:v>
      </x:c>
      <x:c r="C164" t="s">
        <x:v>679</x:v>
      </x:c>
      <x:c r="D164" t="s">
        <x:v>109</x:v>
      </x:c>
      <x:c r="E164" t="s">
        <x:v>941</x:v>
      </x:c>
      <x:c r="F164" t="s">
        <x:v>1653</x:v>
      </x:c>
      <x:c r="G164" t="s">
        <x:v>965</x:v>
      </x:c>
      <x:c r="H164" t="s">
        <x:v>31</x:v>
      </x:c>
      <x:c r="I164" s="5" t="s">
        <x:v>1652</x:v>
      </x:c>
      <x:c r="J164" t="s">
        <x:v>966</x:v>
      </x:c>
      <x:c r="K164" t="s">
        <x:v>115</x:v>
      </x:c>
      <x:c r="L164" t="s">
        <x:v>1457</x:v>
      </x:c>
      <x:c r="M164">
        <x:v>1</x:v>
      </x:c>
    </x:row>
    <x:row r="165">
      <x:c r="A165" t="s">
        <x:v>967</x:v>
      </x:c>
      <x:c r="B165" t="s">
        <x:v>969</x:v>
      </x:c>
      <x:c r="C165" t="s">
        <x:v>679</x:v>
      </x:c>
      <x:c r="D165" t="s">
        <x:v>109</x:v>
      </x:c>
      <x:c r="E165" t="s">
        <x:v>941</x:v>
      </x:c>
      <x:c r="F165" t="s">
        <x:v>1654</x:v>
      </x:c>
      <x:c r="G165" t="s">
        <x:v>970</x:v>
      </x:c>
      <x:c r="H165" t="s">
        <x:v>31</x:v>
      </x:c>
      <x:c r="I165" s="5" t="s">
        <x:v>1652</x:v>
      </x:c>
      <x:c r="J165" t="s">
        <x:v>971</x:v>
      </x:c>
      <x:c r="K165" t="s">
        <x:v>115</x:v>
      </x:c>
      <x:c r="L165" t="s">
        <x:v>1457</x:v>
      </x:c>
      <x:c r="M165">
        <x:v>1</x:v>
      </x:c>
    </x:row>
    <x:row r="166">
      <x:c r="A166" t="s">
        <x:v>972</x:v>
      </x:c>
      <x:c r="B166" t="s">
        <x:v>974</x:v>
      </x:c>
      <x:c r="C166" t="s">
        <x:v>679</x:v>
      </x:c>
      <x:c r="D166" t="s">
        <x:v>109</x:v>
      </x:c>
      <x:c r="E166" t="s">
        <x:v>977</x:v>
      </x:c>
      <x:c r="F166" t="s">
        <x:v>1655</x:v>
      </x:c>
      <x:c r="G166" t="s">
        <x:v>978</x:v>
      </x:c>
      <x:c r="H166" t="s">
        <x:v>31</x:v>
      </x:c>
      <x:c r="I166" s="5" t="s">
        <x:v>1652</x:v>
      </x:c>
      <x:c r="J166" t="s">
        <x:v>979</x:v>
      </x:c>
      <x:c r="K166" t="s">
        <x:v>115</x:v>
      </x:c>
      <x:c r="L166" t="s">
        <x:v>1457</x:v>
      </x:c>
      <x:c r="M166">
        <x:v>1</x:v>
      </x:c>
    </x:row>
    <x:row r="167">
      <x:c r="A167" t="s">
        <x:v>980</x:v>
      </x:c>
      <x:c r="B167" t="s">
        <x:v>982</x:v>
      </x:c>
      <x:c r="C167" t="s">
        <x:v>679</x:v>
      </x:c>
      <x:c r="D167" t="s">
        <x:v>109</x:v>
      </x:c>
      <x:c r="E167" t="s">
        <x:v>977</x:v>
      </x:c>
      <x:c r="F167" t="s">
        <x:v>1656</x:v>
      </x:c>
      <x:c r="G167" t="s">
        <x:v>983</x:v>
      </x:c>
      <x:c r="H167" t="s">
        <x:v>31</x:v>
      </x:c>
      <x:c r="I167" s="5" t="s">
        <x:v>1652</x:v>
      </x:c>
      <x:c r="J167" t="s">
        <x:v>984</x:v>
      </x:c>
      <x:c r="K167" t="s">
        <x:v>115</x:v>
      </x:c>
      <x:c r="L167" t="s">
        <x:v>1457</x:v>
      </x:c>
      <x:c r="M167">
        <x:v>1</x:v>
      </x:c>
    </x:row>
    <x:row r="168">
      <x:c r="A168" t="s">
        <x:v>985</x:v>
      </x:c>
      <x:c r="B168" t="s">
        <x:v>987</x:v>
      </x:c>
      <x:c r="C168" t="s">
        <x:v>679</x:v>
      </x:c>
      <x:c r="D168" t="s">
        <x:v>109</x:v>
      </x:c>
      <x:c r="E168" t="s">
        <x:v>905</x:v>
      </x:c>
      <x:c r="F168" t="s">
        <x:v>1657</x:v>
      </x:c>
      <x:c r="G168" t="s">
        <x:v>39</x:v>
      </x:c>
      <x:c r="H168" t="s">
        <x:v>31</x:v>
      </x:c>
      <x:c r="I168" s="5" t="s">
        <x:v>1652</x:v>
      </x:c>
      <x:c r="J168" t="s">
        <x:v>988</x:v>
      </x:c>
      <x:c r="K168" t="s">
        <x:v>115</x:v>
      </x:c>
      <x:c r="L168" t="s">
        <x:v>1457</x:v>
      </x:c>
      <x:c r="M168">
        <x:v>1</x:v>
      </x:c>
    </x:row>
    <x:row r="169">
      <x:c r="A169" t="s">
        <x:v>989</x:v>
      </x:c>
      <x:c r="B169" t="s">
        <x:v>993</x:v>
      </x:c>
      <x:c r="C169" t="s">
        <x:v>679</x:v>
      </x:c>
      <x:c r="D169" t="s">
        <x:v>109</x:v>
      </x:c>
      <x:c r="E169" t="s">
        <x:v>996</x:v>
      </x:c>
      <x:c r="F169" t="s">
        <x:v>1658</x:v>
      </x:c>
      <x:c r="G169" t="s">
        <x:v>997</x:v>
      </x:c>
      <x:c r="H169" t="s">
        <x:v>31</x:v>
      </x:c>
      <x:c r="I169" s="5" t="s">
        <x:v>1556</x:v>
      </x:c>
      <x:c r="J169" t="s">
        <x:v>998</x:v>
      </x:c>
      <x:c r="K169" t="s">
        <x:v>115</x:v>
      </x:c>
      <x:c r="L169" t="s">
        <x:v>1457</x:v>
      </x:c>
      <x:c r="M169">
        <x:v>1</x:v>
      </x:c>
    </x:row>
    <x:row r="170">
      <x:c r="A170" t="s">
        <x:v>999</x:v>
      </x:c>
      <x:c r="B170" t="s">
        <x:v>1001</x:v>
      </x:c>
      <x:c r="C170" t="s">
        <x:v>679</x:v>
      </x:c>
      <x:c r="D170" t="s">
        <x:v>109</x:v>
      </x:c>
      <x:c r="E170" t="s">
        <x:v>996</x:v>
      </x:c>
      <x:c r="F170" t="s">
        <x:v>1659</x:v>
      </x:c>
      <x:c r="G170" t="s">
        <x:v>1002</x:v>
      </x:c>
      <x:c r="H170" t="s">
        <x:v>31</x:v>
      </x:c>
      <x:c r="I170" s="5" t="s">
        <x:v>1556</x:v>
      </x:c>
      <x:c r="J170" t="s">
        <x:v>1003</x:v>
      </x:c>
      <x:c r="K170" t="s">
        <x:v>115</x:v>
      </x:c>
      <x:c r="L170" t="s">
        <x:v>1457</x:v>
      </x:c>
      <x:c r="M170">
        <x:v>1</x:v>
      </x:c>
    </x:row>
    <x:row r="171">
      <x:c r="A171" t="s">
        <x:v>1004</x:v>
      </x:c>
      <x:c r="B171" t="s">
        <x:v>498</x:v>
      </x:c>
      <x:c r="C171" t="s">
        <x:v>679</x:v>
      </x:c>
      <x:c r="D171" t="s">
        <x:v>109</x:v>
      </x:c>
      <x:c r="E171" t="s">
        <x:v>996</x:v>
      </x:c>
      <x:c r="F171" t="s">
        <x:v>1660</x:v>
      </x:c>
      <x:c r="G171" t="s">
        <x:v>1006</x:v>
      </x:c>
      <x:c r="H171" t="s">
        <x:v>31</x:v>
      </x:c>
      <x:c r="I171" s="5" t="s">
        <x:v>1556</x:v>
      </x:c>
      <x:c r="J171" t="s">
        <x:v>1007</x:v>
      </x:c>
      <x:c r="K171" t="s">
        <x:v>115</x:v>
      </x:c>
      <x:c r="L171" t="s">
        <x:v>1457</x:v>
      </x:c>
      <x:c r="M171">
        <x:v>1</x:v>
      </x:c>
    </x:row>
    <x:row r="172">
      <x:c r="A172" t="s">
        <x:v>1008</x:v>
      </x:c>
      <x:c r="B172" t="s">
        <x:v>1010</x:v>
      </x:c>
      <x:c r="C172" t="s">
        <x:v>679</x:v>
      </x:c>
      <x:c r="D172" t="s">
        <x:v>109</x:v>
      </x:c>
      <x:c r="E172" t="s">
        <x:v>295</x:v>
      </x:c>
      <x:c r="F172" t="s">
        <x:v>1661</x:v>
      </x:c>
      <x:c r="G172" t="s">
        <x:v>1011</x:v>
      </x:c>
      <x:c r="H172" t="s">
        <x:v>31</x:v>
      </x:c>
      <x:c r="I172" s="5" t="s">
        <x:v>1662</x:v>
      </x:c>
      <x:c r="J172" t="s">
        <x:v>1012</x:v>
      </x:c>
      <x:c r="K172" t="s">
        <x:v>115</x:v>
      </x:c>
      <x:c r="L172" t="s">
        <x:v>1457</x:v>
      </x:c>
      <x:c r="M172">
        <x:v>1</x:v>
      </x:c>
    </x:row>
    <x:row r="173">
      <x:c r="A173" t="s">
        <x:v>1013</x:v>
      </x:c>
      <x:c r="B173" t="s">
        <x:v>1017</x:v>
      </x:c>
      <x:c r="C173" t="s">
        <x:v>679</x:v>
      </x:c>
      <x:c r="D173" t="s">
        <x:v>109</x:v>
      </x:c>
      <x:c r="E173" t="s">
        <x:v>76</x:v>
      </x:c>
      <x:c r="F173" t="s">
        <x:v>1663</x:v>
      </x:c>
      <x:c r="G173" t="s">
        <x:v>1018</x:v>
      </x:c>
      <x:c r="H173" t="s">
        <x:v>31</x:v>
      </x:c>
      <x:c r="I173" s="5" t="s">
        <x:v>1465</x:v>
      </x:c>
      <x:c r="J173" t="s">
        <x:v>1019</x:v>
      </x:c>
      <x:c r="K173" t="s">
        <x:v>115</x:v>
      </x:c>
      <x:c r="L173" t="s">
        <x:v>1457</x:v>
      </x:c>
      <x:c r="M173">
        <x:v>1</x:v>
      </x:c>
    </x:row>
    <x:row r="174">
      <x:c r="A174" t="s">
        <x:v>1020</x:v>
      </x:c>
      <x:c r="B174" t="s">
        <x:v>1022</x:v>
      </x:c>
      <x:c r="C174" t="s">
        <x:v>679</x:v>
      </x:c>
      <x:c r="D174" t="s">
        <x:v>109</x:v>
      </x:c>
      <x:c r="E174" t="s">
        <x:v>295</x:v>
      </x:c>
      <x:c r="F174" t="s">
        <x:v>1664</x:v>
      </x:c>
      <x:c r="G174" t="s">
        <x:v>1023</x:v>
      </x:c>
      <x:c r="H174" t="s">
        <x:v>31</x:v>
      </x:c>
      <x:c r="I174" s="5" t="s">
        <x:v>1662</x:v>
      </x:c>
      <x:c r="J174" t="s">
        <x:v>1024</x:v>
      </x:c>
      <x:c r="K174" t="s">
        <x:v>115</x:v>
      </x:c>
      <x:c r="L174" t="s">
        <x:v>1457</x:v>
      </x:c>
      <x:c r="M174">
        <x:v>1</x:v>
      </x:c>
    </x:row>
    <x:row r="175">
      <x:c r="A175" t="s">
        <x:v>1025</x:v>
      </x:c>
      <x:c r="B175" t="s">
        <x:v>1027</x:v>
      </x:c>
      <x:c r="C175" t="s">
        <x:v>679</x:v>
      </x:c>
      <x:c r="D175" t="s">
        <x:v>109</x:v>
      </x:c>
      <x:c r="E175" t="s">
        <x:v>695</x:v>
      </x:c>
      <x:c r="F175" t="s">
        <x:v>1665</x:v>
      </x:c>
      <x:c r="G175" t="s">
        <x:v>1028</x:v>
      </x:c>
      <x:c r="H175" t="s">
        <x:v>31</x:v>
      </x:c>
      <x:c r="I175" s="5" t="s">
        <x:v>1593</x:v>
      </x:c>
      <x:c r="J175" t="s">
        <x:v>1029</x:v>
      </x:c>
      <x:c r="K175" t="s">
        <x:v>115</x:v>
      </x:c>
      <x:c r="L175" t="s">
        <x:v>1457</x:v>
      </x:c>
      <x:c r="M175">
        <x:v>1</x:v>
      </x:c>
    </x:row>
    <x:row r="176">
      <x:c r="A176" t="s">
        <x:v>1030</x:v>
      </x:c>
      <x:c r="B176" t="s">
        <x:v>1032</x:v>
      </x:c>
      <x:c r="C176" t="s">
        <x:v>679</x:v>
      </x:c>
      <x:c r="D176" t="s">
        <x:v>109</x:v>
      </x:c>
      <x:c r="E176" t="s">
        <x:v>50</x:v>
      </x:c>
      <x:c r="F176" t="s">
        <x:v>1666</x:v>
      </x:c>
      <x:c r="G176" t="s">
        <x:v>1033</x:v>
      </x:c>
      <x:c r="H176" t="s">
        <x:v>31</x:v>
      </x:c>
      <x:c r="I176" s="5" t="s">
        <x:v>1531</x:v>
      </x:c>
      <x:c r="J176" t="s">
        <x:v>1034</x:v>
      </x:c>
      <x:c r="K176" t="s">
        <x:v>115</x:v>
      </x:c>
      <x:c r="L176" t="s">
        <x:v>1457</x:v>
      </x:c>
      <x:c r="M176">
        <x:v>1</x:v>
      </x:c>
    </x:row>
    <x:row r="177">
      <x:c r="A177" t="s">
        <x:v>1035</x:v>
      </x:c>
      <x:c r="B177" t="s">
        <x:v>1037</x:v>
      </x:c>
      <x:c r="C177" t="s">
        <x:v>679</x:v>
      </x:c>
      <x:c r="D177" t="s">
        <x:v>109</x:v>
      </x:c>
      <x:c r="E177" t="s">
        <x:v>50</x:v>
      </x:c>
      <x:c r="F177" t="s">
        <x:v>1667</x:v>
      </x:c>
      <x:c r="G177" t="s">
        <x:v>39</x:v>
      </x:c>
      <x:c r="H177" t="s">
        <x:v>31</x:v>
      </x:c>
      <x:c r="I177" s="5" t="s">
        <x:v>1531</x:v>
      </x:c>
      <x:c r="J177" t="s">
        <x:v>1038</x:v>
      </x:c>
      <x:c r="K177" t="s">
        <x:v>115</x:v>
      </x:c>
      <x:c r="L177" t="s">
        <x:v>1457</x:v>
      </x:c>
      <x:c r="M177">
        <x:v>1</x:v>
      </x:c>
    </x:row>
    <x:row r="178">
      <x:c r="A178" t="s">
        <x:v>1039</x:v>
      </x:c>
      <x:c r="B178" t="s">
        <x:v>1041</x:v>
      </x:c>
      <x:c r="C178" t="s">
        <x:v>679</x:v>
      </x:c>
      <x:c r="D178" t="s">
        <x:v>109</x:v>
      </x:c>
      <x:c r="E178" t="s">
        <x:v>50</x:v>
      </x:c>
      <x:c r="F178" t="s">
        <x:v>1668</x:v>
      </x:c>
      <x:c r="G178" t="s">
        <x:v>251</x:v>
      </x:c>
      <x:c r="H178" t="s">
        <x:v>31</x:v>
      </x:c>
      <x:c r="I178" s="5" t="s">
        <x:v>1531</x:v>
      </x:c>
      <x:c r="J178" t="s">
        <x:v>1042</x:v>
      </x:c>
      <x:c r="K178" t="s">
        <x:v>115</x:v>
      </x:c>
      <x:c r="L178" t="s">
        <x:v>1457</x:v>
      </x:c>
      <x:c r="M178">
        <x:v>1</x:v>
      </x:c>
    </x:row>
    <x:row r="179">
      <x:c r="A179" t="s">
        <x:v>1043</x:v>
      </x:c>
      <x:c r="B179" t="s">
        <x:v>1045</x:v>
      </x:c>
      <x:c r="C179" t="s">
        <x:v>679</x:v>
      </x:c>
      <x:c r="D179" t="s">
        <x:v>109</x:v>
      </x:c>
      <x:c r="E179" t="s">
        <x:v>168</x:v>
      </x:c>
      <x:c r="F179" t="s">
        <x:v>1669</x:v>
      </x:c>
      <x:c r="G179" t="s">
        <x:v>1046</x:v>
      </x:c>
      <x:c r="H179" t="s">
        <x:v>31</x:v>
      </x:c>
      <x:c r="I179" s="5" t="s">
        <x:v>1484</x:v>
      </x:c>
      <x:c r="J179" t="s">
        <x:v>1047</x:v>
      </x:c>
      <x:c r="K179" t="s">
        <x:v>115</x:v>
      </x:c>
      <x:c r="L179" t="s">
        <x:v>1457</x:v>
      </x:c>
      <x:c r="M179">
        <x:v>1</x:v>
      </x:c>
    </x:row>
    <x:row r="180">
      <x:c r="A180" t="s">
        <x:v>1048</x:v>
      </x:c>
      <x:c r="B180" t="s">
        <x:v>1052</x:v>
      </x:c>
      <x:c r="C180" t="s">
        <x:v>679</x:v>
      </x:c>
      <x:c r="D180" t="s">
        <x:v>109</x:v>
      </x:c>
      <x:c r="E180" t="s">
        <x:v>1055</x:v>
      </x:c>
      <x:c r="F180" t="s">
        <x:v>1670</x:v>
      </x:c>
      <x:c r="G180" t="s">
        <x:v>1056</x:v>
      </x:c>
      <x:c r="H180" t="s">
        <x:v>31</x:v>
      </x:c>
      <x:c r="I180" s="5" t="s">
        <x:v>1671</x:v>
      </x:c>
      <x:c r="J180" t="s">
        <x:v>1057</x:v>
      </x:c>
      <x:c r="K180" t="s">
        <x:v>115</x:v>
      </x:c>
      <x:c r="L180" t="s">
        <x:v>1457</x:v>
      </x:c>
      <x:c r="M180">
        <x:v>1</x:v>
      </x:c>
    </x:row>
    <x:row r="181">
      <x:c r="A181" t="s">
        <x:v>1058</x:v>
      </x:c>
      <x:c r="B181" t="s">
        <x:v>419</x:v>
      </x:c>
      <x:c r="C181" t="s">
        <x:v>679</x:v>
      </x:c>
      <x:c r="D181" t="s">
        <x:v>109</x:v>
      </x:c>
      <x:c r="E181" t="s">
        <x:v>1055</x:v>
      </x:c>
      <x:c r="F181" t="s">
        <x:v>1672</x:v>
      </x:c>
      <x:c r="G181" t="s">
        <x:v>1060</x:v>
      </x:c>
      <x:c r="H181" t="s">
        <x:v>31</x:v>
      </x:c>
      <x:c r="I181" s="5" t="s">
        <x:v>1671</x:v>
      </x:c>
      <x:c r="J181" t="s">
        <x:v>1061</x:v>
      </x:c>
      <x:c r="K181" t="s">
        <x:v>115</x:v>
      </x:c>
      <x:c r="L181" t="s">
        <x:v>1457</x:v>
      </x:c>
      <x:c r="M181">
        <x:v>1</x:v>
      </x:c>
    </x:row>
    <x:row r="182">
      <x:c r="A182" t="s">
        <x:v>1062</x:v>
      </x:c>
      <x:c r="B182" t="s">
        <x:v>1064</x:v>
      </x:c>
      <x:c r="C182" t="s">
        <x:v>679</x:v>
      </x:c>
      <x:c r="D182" t="s">
        <x:v>109</x:v>
      </x:c>
      <x:c r="E182" t="s">
        <x:v>1067</x:v>
      </x:c>
      <x:c r="F182" t="s">
        <x:v>1673</x:v>
      </x:c>
      <x:c r="G182" t="s">
        <x:v>241</x:v>
      </x:c>
      <x:c r="H182" t="s">
        <x:v>31</x:v>
      </x:c>
      <x:c r="I182" s="5" t="s">
        <x:v>1671</x:v>
      </x:c>
      <x:c r="J182" t="s">
        <x:v>1068</x:v>
      </x:c>
      <x:c r="K182" t="s">
        <x:v>115</x:v>
      </x:c>
      <x:c r="L182" t="s">
        <x:v>1457</x:v>
      </x:c>
      <x:c r="M182">
        <x:v>1</x:v>
      </x:c>
    </x:row>
    <x:row r="183">
      <x:c r="A183" t="s">
        <x:v>1069</x:v>
      </x:c>
      <x:c r="B183" t="s">
        <x:v>1071</x:v>
      </x:c>
      <x:c r="C183" t="s">
        <x:v>679</x:v>
      </x:c>
      <x:c r="D183" t="s">
        <x:v>109</x:v>
      </x:c>
      <x:c r="E183" t="s">
        <x:v>1067</x:v>
      </x:c>
      <x:c r="F183" t="s">
        <x:v>1674</x:v>
      </x:c>
      <x:c r="G183" t="s">
        <x:v>910</x:v>
      </x:c>
      <x:c r="H183" t="s">
        <x:v>31</x:v>
      </x:c>
      <x:c r="I183" s="5" t="s">
        <x:v>1671</x:v>
      </x:c>
      <x:c r="J183" t="s">
        <x:v>1072</x:v>
      </x:c>
      <x:c r="K183" t="s">
        <x:v>115</x:v>
      </x:c>
      <x:c r="L183" t="s">
        <x:v>1457</x:v>
      </x:c>
      <x:c r="M183">
        <x:v>1</x:v>
      </x:c>
    </x:row>
    <x:row r="184">
      <x:c r="A184" t="s">
        <x:v>1073</x:v>
      </x:c>
      <x:c r="B184" t="s">
        <x:v>1075</x:v>
      </x:c>
      <x:c r="C184" t="s">
        <x:v>679</x:v>
      </x:c>
      <x:c r="D184" t="s">
        <x:v>109</x:v>
      </x:c>
      <x:c r="E184" t="s">
        <x:v>1067</x:v>
      </x:c>
      <x:c r="F184" t="s">
        <x:v>1675</x:v>
      </x:c>
      <x:c r="G184" t="s">
        <x:v>1076</x:v>
      </x:c>
      <x:c r="H184" t="s">
        <x:v>31</x:v>
      </x:c>
      <x:c r="I184" s="5" t="s">
        <x:v>1671</x:v>
      </x:c>
      <x:c r="J184" t="s">
        <x:v>1077</x:v>
      </x:c>
      <x:c r="K184" t="s">
        <x:v>115</x:v>
      </x:c>
      <x:c r="L184" t="s">
        <x:v>1457</x:v>
      </x:c>
      <x:c r="M184">
        <x:v>1</x:v>
      </x:c>
    </x:row>
    <x:row r="185">
      <x:c r="A185" t="s">
        <x:v>1078</x:v>
      </x:c>
      <x:c r="B185" t="s">
        <x:v>1080</x:v>
      </x:c>
      <x:c r="C185" t="s">
        <x:v>679</x:v>
      </x:c>
      <x:c r="D185" t="s">
        <x:v>109</x:v>
      </x:c>
      <x:c r="E185" t="s">
        <x:v>1055</x:v>
      </x:c>
      <x:c r="F185" t="s">
        <x:v>1676</x:v>
      </x:c>
      <x:c r="G185" t="s">
        <x:v>1081</x:v>
      </x:c>
      <x:c r="H185" t="s">
        <x:v>31</x:v>
      </x:c>
      <x:c r="I185" s="5" t="s">
        <x:v>1671</x:v>
      </x:c>
      <x:c r="J185" t="s">
        <x:v>1082</x:v>
      </x:c>
      <x:c r="K185" t="s">
        <x:v>115</x:v>
      </x:c>
      <x:c r="L185" t="s">
        <x:v>1457</x:v>
      </x:c>
      <x:c r="M185">
        <x:v>1</x:v>
      </x:c>
    </x:row>
    <x:row r="186">
      <x:c r="A186" t="s">
        <x:v>1083</x:v>
      </x:c>
      <x:c r="B186" t="s">
        <x:v>1085</x:v>
      </x:c>
      <x:c r="C186" t="s">
        <x:v>679</x:v>
      </x:c>
      <x:c r="D186" t="s">
        <x:v>109</x:v>
      </x:c>
      <x:c r="E186" t="s">
        <x:v>168</x:v>
      </x:c>
      <x:c r="F186" t="s">
        <x:v>1677</x:v>
      </x:c>
      <x:c r="G186" t="s">
        <x:v>1086</x:v>
      </x:c>
      <x:c r="H186" t="s">
        <x:v>31</x:v>
      </x:c>
      <x:c r="I186" s="5" t="s">
        <x:v>1484</x:v>
      </x:c>
      <x:c r="J186" t="s">
        <x:v>1087</x:v>
      </x:c>
      <x:c r="K186" t="s">
        <x:v>115</x:v>
      </x:c>
      <x:c r="L186" t="s">
        <x:v>1457</x:v>
      </x:c>
      <x:c r="M186">
        <x:v>1</x:v>
      </x:c>
    </x:row>
    <x:row r="187">
      <x:c r="A187" t="s">
        <x:v>1088</x:v>
      </x:c>
      <x:c r="B187" t="s">
        <x:v>1090</x:v>
      </x:c>
      <x:c r="C187" t="s">
        <x:v>679</x:v>
      </x:c>
      <x:c r="D187" t="s">
        <x:v>109</x:v>
      </x:c>
      <x:c r="E187" t="s">
        <x:v>168</x:v>
      </x:c>
      <x:c r="F187" t="s">
        <x:v>1678</x:v>
      </x:c>
      <x:c r="G187" t="s">
        <x:v>39</x:v>
      </x:c>
      <x:c r="H187" t="s">
        <x:v>31</x:v>
      </x:c>
      <x:c r="I187" s="5" t="s">
        <x:v>1484</x:v>
      </x:c>
      <x:c r="J187" t="s">
        <x:v>1091</x:v>
      </x:c>
      <x:c r="K187" t="s">
        <x:v>115</x:v>
      </x:c>
      <x:c r="L187" t="s">
        <x:v>1457</x:v>
      </x:c>
      <x:c r="M187">
        <x:v>1</x:v>
      </x:c>
    </x:row>
    <x:row r="188">
      <x:c r="A188" t="s">
        <x:v>1092</x:v>
      </x:c>
      <x:c r="B188" t="s">
        <x:v>1096</x:v>
      </x:c>
      <x:c r="C188" t="s">
        <x:v>679</x:v>
      </x:c>
      <x:c r="D188" t="s">
        <x:v>109</x:v>
      </x:c>
      <x:c r="E188" t="s">
        <x:v>1099</x:v>
      </x:c>
      <x:c r="F188" t="s">
        <x:v>1679</x:v>
      </x:c>
      <x:c r="G188" t="s">
        <x:v>1100</x:v>
      </x:c>
      <x:c r="H188" t="s">
        <x:v>31</x:v>
      </x:c>
      <x:c r="I188" s="5" t="s">
        <x:v>1680</x:v>
      </x:c>
      <x:c r="J188" t="s">
        <x:v>1101</x:v>
      </x:c>
      <x:c r="K188" t="s">
        <x:v>115</x:v>
      </x:c>
      <x:c r="L188" t="s">
        <x:v>1457</x:v>
      </x:c>
      <x:c r="M188">
        <x:v>1</x:v>
      </x:c>
    </x:row>
    <x:row r="189">
      <x:c r="A189" t="s">
        <x:v>1102</x:v>
      </x:c>
      <x:c r="B189" t="s">
        <x:v>1104</x:v>
      </x:c>
      <x:c r="C189" t="s">
        <x:v>679</x:v>
      </x:c>
      <x:c r="D189" t="s">
        <x:v>109</x:v>
      </x:c>
      <x:c r="E189" t="s">
        <x:v>59</x:v>
      </x:c>
      <x:c r="F189" t="s">
        <x:v>1681</x:v>
      </x:c>
      <x:c r="G189" t="s">
        <x:v>1105</x:v>
      </x:c>
      <x:c r="H189" t="s">
        <x:v>31</x:v>
      </x:c>
      <x:c r="I189" s="5" t="s">
        <x:v>1461</x:v>
      </x:c>
      <x:c r="J189" t="s">
        <x:v>1106</x:v>
      </x:c>
      <x:c r="K189" t="s">
        <x:v>115</x:v>
      </x:c>
      <x:c r="L189" t="s">
        <x:v>1457</x:v>
      </x:c>
      <x:c r="M189">
        <x:v>1</x:v>
      </x:c>
    </x:row>
    <x:row r="190">
      <x:c r="A190" t="s">
        <x:v>1107</x:v>
      </x:c>
      <x:c r="B190" t="s">
        <x:v>1109</x:v>
      </x:c>
      <x:c r="C190" t="s">
        <x:v>679</x:v>
      </x:c>
      <x:c r="D190" t="s">
        <x:v>109</x:v>
      </x:c>
      <x:c r="E190" t="s">
        <x:v>305</x:v>
      </x:c>
      <x:c r="F190" t="s">
        <x:v>1682</x:v>
      </x:c>
      <x:c r="G190" t="s">
        <x:v>1110</x:v>
      </x:c>
      <x:c r="H190" t="s">
        <x:v>31</x:v>
      </x:c>
      <x:c r="I190" s="5" t="s">
        <x:v>1513</x:v>
      </x:c>
      <x:c r="J190" t="s">
        <x:v>1111</x:v>
      </x:c>
      <x:c r="K190" t="s">
        <x:v>115</x:v>
      </x:c>
      <x:c r="L190" t="s">
        <x:v>1457</x:v>
      </x:c>
      <x:c r="M190">
        <x:v>1</x:v>
      </x:c>
    </x:row>
    <x:row r="191">
      <x:c r="A191" t="s">
        <x:v>1112</x:v>
      </x:c>
      <x:c r="B191" t="s">
        <x:v>1114</x:v>
      </x:c>
      <x:c r="C191" t="s">
        <x:v>679</x:v>
      </x:c>
      <x:c r="D191" t="s">
        <x:v>109</x:v>
      </x:c>
      <x:c r="E191" t="s">
        <x:v>305</x:v>
      </x:c>
      <x:c r="F191" t="s">
        <x:v>1683</x:v>
      </x:c>
      <x:c r="G191" t="s">
        <x:v>1115</x:v>
      </x:c>
      <x:c r="H191" t="s">
        <x:v>31</x:v>
      </x:c>
      <x:c r="I191" s="5" t="s">
        <x:v>1513</x:v>
      </x:c>
      <x:c r="J191" t="s">
        <x:v>1116</x:v>
      </x:c>
      <x:c r="K191" t="s">
        <x:v>115</x:v>
      </x:c>
      <x:c r="L191" t="s">
        <x:v>1457</x:v>
      </x:c>
      <x:c r="M191">
        <x:v>1</x:v>
      </x:c>
    </x:row>
    <x:row r="192">
      <x:c r="A192" t="s">
        <x:v>1117</x:v>
      </x:c>
      <x:c r="B192" t="s">
        <x:v>1119</x:v>
      </x:c>
      <x:c r="C192" t="s">
        <x:v>679</x:v>
      </x:c>
      <x:c r="D192" t="s">
        <x:v>109</x:v>
      </x:c>
      <x:c r="E192" t="s">
        <x:v>1099</x:v>
      </x:c>
      <x:c r="F192" t="s">
        <x:v>1684</x:v>
      </x:c>
      <x:c r="G192" t="s">
        <x:v>1120</x:v>
      </x:c>
      <x:c r="H192" t="s">
        <x:v>31</x:v>
      </x:c>
      <x:c r="I192" s="5" t="s">
        <x:v>1680</x:v>
      </x:c>
      <x:c r="J192" t="s">
        <x:v>1121</x:v>
      </x:c>
      <x:c r="K192" t="s">
        <x:v>115</x:v>
      </x:c>
      <x:c r="L192" t="s">
        <x:v>1457</x:v>
      </x:c>
      <x:c r="M192">
        <x:v>1</x:v>
      </x:c>
    </x:row>
    <x:row r="193">
      <x:c r="A193" t="s">
        <x:v>1122</x:v>
      </x:c>
      <x:c r="B193" t="s">
        <x:v>1124</x:v>
      </x:c>
      <x:c r="C193" t="s">
        <x:v>679</x:v>
      </x:c>
      <x:c r="D193" t="s">
        <x:v>109</x:v>
      </x:c>
      <x:c r="E193" t="s">
        <x:v>1099</x:v>
      </x:c>
      <x:c r="F193" t="s">
        <x:v>1685</x:v>
      </x:c>
      <x:c r="G193" t="s">
        <x:v>1125</x:v>
      </x:c>
      <x:c r="H193" t="s">
        <x:v>31</x:v>
      </x:c>
      <x:c r="I193" s="5" t="s">
        <x:v>1680</x:v>
      </x:c>
      <x:c r="J193" t="s">
        <x:v>1126</x:v>
      </x:c>
      <x:c r="K193" t="s">
        <x:v>115</x:v>
      </x:c>
      <x:c r="L193" t="s">
        <x:v>1457</x:v>
      </x:c>
      <x:c r="M193">
        <x:v>1</x:v>
      </x:c>
    </x:row>
    <x:row r="194">
      <x:c r="A194" t="s">
        <x:v>1127</x:v>
      </x:c>
      <x:c r="B194" t="s">
        <x:v>1129</x:v>
      </x:c>
      <x:c r="C194" t="s">
        <x:v>679</x:v>
      </x:c>
      <x:c r="D194" t="s">
        <x:v>109</x:v>
      </x:c>
      <x:c r="E194" t="s">
        <x:v>59</x:v>
      </x:c>
      <x:c r="F194" t="s">
        <x:v>1686</x:v>
      </x:c>
      <x:c r="G194" t="s">
        <x:v>1130</x:v>
      </x:c>
      <x:c r="H194" t="s">
        <x:v>31</x:v>
      </x:c>
      <x:c r="I194" s="5" t="s">
        <x:v>1461</x:v>
      </x:c>
      <x:c r="J194" t="s">
        <x:v>1131</x:v>
      </x:c>
      <x:c r="K194" t="s">
        <x:v>115</x:v>
      </x:c>
      <x:c r="L194" t="s">
        <x:v>1457</x:v>
      </x:c>
      <x:c r="M194">
        <x:v>1</x:v>
      </x:c>
    </x:row>
    <x:row r="195">
      <x:c r="A195" t="s">
        <x:v>1132</x:v>
      </x:c>
      <x:c r="B195" t="s">
        <x:v>1134</x:v>
      </x:c>
      <x:c r="C195" t="s">
        <x:v>679</x:v>
      </x:c>
      <x:c r="D195" t="s">
        <x:v>109</x:v>
      </x:c>
      <x:c r="E195" t="s">
        <x:v>59</x:v>
      </x:c>
      <x:c r="F195" t="s">
        <x:v>1687</x:v>
      </x:c>
      <x:c r="G195" t="s">
        <x:v>1135</x:v>
      </x:c>
      <x:c r="H195" t="s">
        <x:v>31</x:v>
      </x:c>
      <x:c r="I195" s="5" t="s">
        <x:v>1461</x:v>
      </x:c>
      <x:c r="J195" t="s">
        <x:v>1136</x:v>
      </x:c>
      <x:c r="K195" t="s">
        <x:v>115</x:v>
      </x:c>
      <x:c r="L195" t="s">
        <x:v>1457</x:v>
      </x:c>
      <x:c r="M195">
        <x:v>1</x:v>
      </x:c>
    </x:row>
    <x:row r="196">
      <x:c r="A196" t="s">
        <x:v>1137</x:v>
      </x:c>
      <x:c r="B196" t="s">
        <x:v>1141</x:v>
      </x:c>
      <x:c r="C196" t="s">
        <x:v>679</x:v>
      </x:c>
      <x:c r="D196" t="s">
        <x:v>109</x:v>
      </x:c>
      <x:c r="E196" t="s">
        <x:v>69</x:v>
      </x:c>
      <x:c r="F196" t="s">
        <x:v>1688</x:v>
      </x:c>
      <x:c r="G196" t="s">
        <x:v>1142</x:v>
      </x:c>
      <x:c r="H196" t="s">
        <x:v>31</x:v>
      </x:c>
      <x:c r="I196" s="5" t="s">
        <x:v>1463</x:v>
      </x:c>
      <x:c r="J196" t="s">
        <x:v>1143</x:v>
      </x:c>
      <x:c r="K196" t="s">
        <x:v>115</x:v>
      </x:c>
      <x:c r="L196" t="s">
        <x:v>1457</x:v>
      </x:c>
      <x:c r="M196">
        <x:v>1</x:v>
      </x:c>
    </x:row>
    <x:row r="197">
      <x:c r="A197" t="s">
        <x:v>1144</x:v>
      </x:c>
      <x:c r="B197" t="s">
        <x:v>1146</x:v>
      </x:c>
      <x:c r="C197" t="s">
        <x:v>679</x:v>
      </x:c>
      <x:c r="D197" t="s">
        <x:v>109</x:v>
      </x:c>
      <x:c r="E197" t="s">
        <x:v>69</x:v>
      </x:c>
      <x:c r="F197" t="s">
        <x:v>1689</x:v>
      </x:c>
      <x:c r="G197" t="s">
        <x:v>1147</x:v>
      </x:c>
      <x:c r="H197" t="s">
        <x:v>31</x:v>
      </x:c>
      <x:c r="I197" s="5" t="s">
        <x:v>1463</x:v>
      </x:c>
      <x:c r="J197" t="s">
        <x:v>1148</x:v>
      </x:c>
      <x:c r="K197" t="s">
        <x:v>115</x:v>
      </x:c>
      <x:c r="L197" t="s">
        <x:v>1457</x:v>
      </x:c>
      <x:c r="M197">
        <x:v>1</x:v>
      </x:c>
    </x:row>
    <x:row r="198">
      <x:c r="A198" t="s">
        <x:v>1149</x:v>
      </x:c>
      <x:c r="B198" t="s">
        <x:v>1151</x:v>
      </x:c>
      <x:c r="C198" t="s">
        <x:v>679</x:v>
      </x:c>
      <x:c r="D198" t="s">
        <x:v>109</x:v>
      </x:c>
      <x:c r="E198" t="s">
        <x:v>176</x:v>
      </x:c>
      <x:c r="F198" t="s">
        <x:v>1690</x:v>
      </x:c>
      <x:c r="G198" t="s">
        <x:v>251</x:v>
      </x:c>
      <x:c r="H198" t="s">
        <x:v>31</x:v>
      </x:c>
      <x:c r="I198" s="5" t="s">
        <x:v>1486</x:v>
      </x:c>
      <x:c r="J198" t="s">
        <x:v>1152</x:v>
      </x:c>
      <x:c r="K198" t="s">
        <x:v>115</x:v>
      </x:c>
      <x:c r="L198" t="s">
        <x:v>1457</x:v>
      </x:c>
      <x:c r="M198">
        <x:v>1</x:v>
      </x:c>
    </x:row>
    <x:row r="199">
      <x:c r="A199" t="s">
        <x:v>1153</x:v>
      </x:c>
      <x:c r="B199" t="s">
        <x:v>1155</x:v>
      </x:c>
      <x:c r="C199" t="s">
        <x:v>679</x:v>
      </x:c>
      <x:c r="D199" t="s">
        <x:v>109</x:v>
      </x:c>
      <x:c r="E199" t="s">
        <x:v>69</x:v>
      </x:c>
      <x:c r="F199" t="s">
        <x:v>1691</x:v>
      </x:c>
      <x:c r="G199" t="s">
        <x:v>1156</x:v>
      </x:c>
      <x:c r="H199" t="s">
        <x:v>31</x:v>
      </x:c>
      <x:c r="I199" s="5" t="s">
        <x:v>1463</x:v>
      </x:c>
      <x:c r="J199" t="s">
        <x:v>1157</x:v>
      </x:c>
      <x:c r="K199" t="s">
        <x:v>115</x:v>
      </x:c>
      <x:c r="L199" t="s">
        <x:v>1457</x:v>
      </x:c>
      <x:c r="M199">
        <x:v>1</x:v>
      </x:c>
    </x:row>
    <x:row r="200">
      <x:c r="A200" t="s">
        <x:v>1158</x:v>
      </x:c>
      <x:c r="B200" t="s">
        <x:v>1160</x:v>
      </x:c>
      <x:c r="C200" t="s">
        <x:v>679</x:v>
      </x:c>
      <x:c r="D200" t="s">
        <x:v>109</x:v>
      </x:c>
      <x:c r="E200" t="s">
        <x:v>332</x:v>
      </x:c>
      <x:c r="F200" t="s">
        <x:v>1692</x:v>
      </x:c>
      <x:c r="G200" t="s">
        <x:v>1161</x:v>
      </x:c>
      <x:c r="H200" t="s">
        <x:v>31</x:v>
      </x:c>
      <x:c r="I200" s="5" t="s">
        <x:v>1519</x:v>
      </x:c>
      <x:c r="J200" t="s">
        <x:v>1162</x:v>
      </x:c>
      <x:c r="K200" t="s">
        <x:v>115</x:v>
      </x:c>
      <x:c r="L200" t="s">
        <x:v>1457</x:v>
      </x:c>
      <x:c r="M200">
        <x:v>1</x:v>
      </x:c>
    </x:row>
    <x:row r="201">
      <x:c r="A201" t="s">
        <x:v>1163</x:v>
      </x:c>
      <x:c r="B201" t="s">
        <x:v>1165</x:v>
      </x:c>
      <x:c r="C201" t="s">
        <x:v>679</x:v>
      </x:c>
      <x:c r="D201" t="s">
        <x:v>109</x:v>
      </x:c>
      <x:c r="E201" t="s">
        <x:v>332</x:v>
      </x:c>
      <x:c r="F201" t="s">
        <x:v>1693</x:v>
      </x:c>
      <x:c r="G201" t="s">
        <x:v>241</x:v>
      </x:c>
      <x:c r="H201" t="s">
        <x:v>31</x:v>
      </x:c>
      <x:c r="I201" s="5" t="s">
        <x:v>1519</x:v>
      </x:c>
      <x:c r="J201" t="s">
        <x:v>1166</x:v>
      </x:c>
      <x:c r="K201" t="s">
        <x:v>115</x:v>
      </x:c>
      <x:c r="L201" t="s">
        <x:v>1457</x:v>
      </x:c>
      <x:c r="M201">
        <x:v>1</x:v>
      </x:c>
    </x:row>
    <x:row r="202">
      <x:c r="A202" t="s">
        <x:v>1167</x:v>
      </x:c>
      <x:c r="B202" t="s">
        <x:v>1169</x:v>
      </x:c>
      <x:c r="C202" t="s">
        <x:v>679</x:v>
      </x:c>
      <x:c r="D202" t="s">
        <x:v>109</x:v>
      </x:c>
      <x:c r="E202" t="s">
        <x:v>184</x:v>
      </x:c>
      <x:c r="F202" t="s">
        <x:v>1694</x:v>
      </x:c>
      <x:c r="G202" t="s">
        <x:v>1170</x:v>
      </x:c>
      <x:c r="H202" t="s">
        <x:v>31</x:v>
      </x:c>
      <x:c r="I202" s="5" t="s">
        <x:v>1488</x:v>
      </x:c>
      <x:c r="J202" t="s">
        <x:v>1171</x:v>
      </x:c>
      <x:c r="K202" t="s">
        <x:v>115</x:v>
      </x:c>
      <x:c r="L202" t="s">
        <x:v>1457</x:v>
      </x:c>
      <x:c r="M202">
        <x:v>1</x:v>
      </x:c>
    </x:row>
    <x:row r="203">
      <x:c r="A203" t="s">
        <x:v>1172</x:v>
      </x:c>
      <x:c r="B203" t="s">
        <x:v>1174</x:v>
      </x:c>
      <x:c r="C203" t="s">
        <x:v>679</x:v>
      </x:c>
      <x:c r="D203" t="s">
        <x:v>109</x:v>
      </x:c>
      <x:c r="E203" t="s">
        <x:v>104</x:v>
      </x:c>
      <x:c r="F203" t="s">
        <x:v>1695</x:v>
      </x:c>
      <x:c r="G203" t="s">
        <x:v>1175</x:v>
      </x:c>
      <x:c r="H203" t="s">
        <x:v>31</x:v>
      </x:c>
      <x:c r="I203" s="5" t="s">
        <x:v>1522</x:v>
      </x:c>
      <x:c r="J203" t="s">
        <x:v>1176</x:v>
      </x:c>
      <x:c r="K203" t="s">
        <x:v>115</x:v>
      </x:c>
      <x:c r="L203" t="s">
        <x:v>1457</x:v>
      </x:c>
      <x:c r="M203">
        <x:v>1</x:v>
      </x:c>
    </x:row>
    <x:row r="204">
      <x:c r="A204" t="s">
        <x:v>1177</x:v>
      </x:c>
      <x:c r="B204" t="s">
        <x:v>1179</x:v>
      </x:c>
      <x:c r="C204" t="s">
        <x:v>679</x:v>
      </x:c>
      <x:c r="D204" t="s">
        <x:v>109</x:v>
      </x:c>
      <x:c r="E204" t="s">
        <x:v>104</x:v>
      </x:c>
      <x:c r="F204" t="s">
        <x:v>1696</x:v>
      </x:c>
      <x:c r="G204" t="s">
        <x:v>1180</x:v>
      </x:c>
      <x:c r="H204" t="s">
        <x:v>31</x:v>
      </x:c>
      <x:c r="I204" s="5" t="s">
        <x:v>1522</x:v>
      </x:c>
      <x:c r="J204" t="s">
        <x:v>1181</x:v>
      </x:c>
      <x:c r="K204" t="s">
        <x:v>115</x:v>
      </x:c>
      <x:c r="L204" t="s">
        <x:v>1457</x:v>
      </x:c>
      <x:c r="M204">
        <x:v>1</x:v>
      </x:c>
    </x:row>
    <x:row r="205">
      <x:c r="A205" t="s">
        <x:v>1182</x:v>
      </x:c>
      <x:c r="B205" t="s">
        <x:v>1184</x:v>
      </x:c>
      <x:c r="C205" t="s">
        <x:v>679</x:v>
      </x:c>
      <x:c r="D205" t="s">
        <x:v>109</x:v>
      </x:c>
      <x:c r="E205" t="s">
        <x:v>104</x:v>
      </x:c>
      <x:c r="F205" t="s">
        <x:v>1697</x:v>
      </x:c>
      <x:c r="G205" t="s">
        <x:v>251</x:v>
      </x:c>
      <x:c r="H205" t="s">
        <x:v>31</x:v>
      </x:c>
      <x:c r="I205" s="5" t="s">
        <x:v>1522</x:v>
      </x:c>
      <x:c r="J205" t="s">
        <x:v>1185</x:v>
      </x:c>
      <x:c r="K205" t="s">
        <x:v>115</x:v>
      </x:c>
      <x:c r="L205" t="s">
        <x:v>1457</x:v>
      </x:c>
      <x:c r="M205">
        <x:v>1</x:v>
      </x:c>
    </x:row>
    <x:row r="206">
      <x:c r="A206" t="s">
        <x:v>1186</x:v>
      </x:c>
      <x:c r="B206" t="s">
        <x:v>1190</x:v>
      </x:c>
      <x:c r="C206" t="s">
        <x:v>679</x:v>
      </x:c>
      <x:c r="D206" t="s">
        <x:v>109</x:v>
      </x:c>
      <x:c r="E206" t="s">
        <x:v>522</x:v>
      </x:c>
      <x:c r="F206" t="s">
        <x:v>1698</x:v>
      </x:c>
      <x:c r="G206" t="s">
        <x:v>1191</x:v>
      </x:c>
      <x:c r="H206" t="s">
        <x:v>31</x:v>
      </x:c>
      <x:c r="I206" s="5" t="s">
        <x:v>1562</x:v>
      </x:c>
      <x:c r="J206" t="s">
        <x:v>1192</x:v>
      </x:c>
      <x:c r="K206" t="s">
        <x:v>115</x:v>
      </x:c>
      <x:c r="L206" t="s">
        <x:v>1457</x:v>
      </x:c>
      <x:c r="M206">
        <x:v>1</x:v>
      </x:c>
    </x:row>
    <x:row r="207">
      <x:c r="A207" t="s">
        <x:v>1193</x:v>
      </x:c>
      <x:c r="B207" t="s">
        <x:v>66</x:v>
      </x:c>
      <x:c r="C207" t="s">
        <x:v>679</x:v>
      </x:c>
      <x:c r="D207" t="s">
        <x:v>109</x:v>
      </x:c>
      <x:c r="E207" t="s">
        <x:v>369</x:v>
      </x:c>
      <x:c r="F207" t="s">
        <x:v>1699</x:v>
      </x:c>
      <x:c r="G207" t="s">
        <x:v>1195</x:v>
      </x:c>
      <x:c r="H207" t="s">
        <x:v>31</x:v>
      </x:c>
      <x:c r="I207" s="5" t="s">
        <x:v>1526</x:v>
      </x:c>
      <x:c r="J207" t="s">
        <x:v>1196</x:v>
      </x:c>
      <x:c r="K207" t="s">
        <x:v>115</x:v>
      </x:c>
      <x:c r="L207" t="s">
        <x:v>1457</x:v>
      </x:c>
      <x:c r="M207">
        <x:v>1</x:v>
      </x:c>
    </x:row>
    <x:row r="208">
      <x:c r="A208" t="s">
        <x:v>1197</x:v>
      </x:c>
      <x:c r="B208" t="s">
        <x:v>1199</x:v>
      </x:c>
      <x:c r="C208" t="s">
        <x:v>679</x:v>
      </x:c>
      <x:c r="D208" t="s">
        <x:v>109</x:v>
      </x:c>
      <x:c r="E208" t="s">
        <x:v>369</x:v>
      </x:c>
      <x:c r="F208" t="s">
        <x:v>1700</x:v>
      </x:c>
      <x:c r="G208" t="s">
        <x:v>1200</x:v>
      </x:c>
      <x:c r="H208" t="s">
        <x:v>31</x:v>
      </x:c>
      <x:c r="I208" s="5" t="s">
        <x:v>1526</x:v>
      </x:c>
      <x:c r="J208" t="s">
        <x:v>1201</x:v>
      </x:c>
      <x:c r="K208" t="s">
        <x:v>115</x:v>
      </x:c>
      <x:c r="L208" t="s">
        <x:v>1457</x:v>
      </x:c>
      <x:c r="M208">
        <x:v>1</x:v>
      </x:c>
    </x:row>
    <x:row r="209">
      <x:c r="A209" t="s">
        <x:v>1202</x:v>
      </x:c>
      <x:c r="B209" t="s">
        <x:v>1204</x:v>
      </x:c>
      <x:c r="C209" t="s">
        <x:v>679</x:v>
      </x:c>
      <x:c r="D209" t="s">
        <x:v>109</x:v>
      </x:c>
      <x:c r="E209" t="s">
        <x:v>522</x:v>
      </x:c>
      <x:c r="F209" t="s">
        <x:v>1701</x:v>
      </x:c>
      <x:c r="G209" t="s">
        <x:v>1205</x:v>
      </x:c>
      <x:c r="H209" t="s">
        <x:v>31</x:v>
      </x:c>
      <x:c r="I209" s="5" t="s">
        <x:v>1562</x:v>
      </x:c>
      <x:c r="J209" t="s">
        <x:v>1206</x:v>
      </x:c>
      <x:c r="K209" t="s">
        <x:v>115</x:v>
      </x:c>
      <x:c r="L209" t="s">
        <x:v>1457</x:v>
      </x:c>
      <x:c r="M209">
        <x:v>1</x:v>
      </x:c>
    </x:row>
    <x:row r="210">
      <x:c r="A210" t="s">
        <x:v>1207</x:v>
      </x:c>
      <x:c r="B210" t="s">
        <x:v>1209</x:v>
      </x:c>
      <x:c r="C210" t="s">
        <x:v>679</x:v>
      </x:c>
      <x:c r="D210" t="s">
        <x:v>109</x:v>
      </x:c>
      <x:c r="E210" t="s">
        <x:v>522</x:v>
      </x:c>
      <x:c r="F210" t="s">
        <x:v>1702</x:v>
      </x:c>
      <x:c r="G210" t="s">
        <x:v>251</x:v>
      </x:c>
      <x:c r="H210" t="s">
        <x:v>31</x:v>
      </x:c>
      <x:c r="I210" s="5" t="s">
        <x:v>1562</x:v>
      </x:c>
      <x:c r="J210" t="s">
        <x:v>1210</x:v>
      </x:c>
      <x:c r="K210" t="s">
        <x:v>115</x:v>
      </x:c>
      <x:c r="L210" t="s">
        <x:v>1457</x:v>
      </x:c>
      <x:c r="M210">
        <x:v>1</x:v>
      </x:c>
    </x:row>
    <x:row r="211">
      <x:c r="A211" t="s">
        <x:v>1211</x:v>
      </x:c>
      <x:c r="B211" t="s">
        <x:v>1213</x:v>
      </x:c>
      <x:c r="C211" t="s">
        <x:v>679</x:v>
      </x:c>
      <x:c r="D211" t="s">
        <x:v>109</x:v>
      </x:c>
      <x:c r="E211" t="s">
        <x:v>369</x:v>
      </x:c>
      <x:c r="F211" t="s">
        <x:v>1703</x:v>
      </x:c>
      <x:c r="G211" t="s">
        <x:v>241</x:v>
      </x:c>
      <x:c r="H211" t="s">
        <x:v>31</x:v>
      </x:c>
      <x:c r="I211" s="5" t="s">
        <x:v>1526</x:v>
      </x:c>
      <x:c r="J211" t="s">
        <x:v>1214</x:v>
      </x:c>
      <x:c r="K211" t="s">
        <x:v>115</x:v>
      </x:c>
      <x:c r="L211" t="s">
        <x:v>1457</x:v>
      </x:c>
      <x:c r="M211">
        <x:v>1</x:v>
      </x:c>
    </x:row>
    <x:row r="212">
      <x:c r="A212" t="s">
        <x:v>1215</x:v>
      </x:c>
      <x:c r="B212" t="s">
        <x:v>1217</x:v>
      </x:c>
      <x:c r="C212" t="s">
        <x:v>679</x:v>
      </x:c>
      <x:c r="D212" t="s">
        <x:v>109</x:v>
      </x:c>
      <x:c r="E212" t="s">
        <x:v>184</x:v>
      </x:c>
      <x:c r="F212" t="s">
        <x:v>1704</x:v>
      </x:c>
      <x:c r="G212" t="s">
        <x:v>1218</x:v>
      </x:c>
      <x:c r="H212" t="s">
        <x:v>31</x:v>
      </x:c>
      <x:c r="I212" s="5" t="s">
        <x:v>1705</x:v>
      </x:c>
      <x:c r="J212" t="s">
        <x:v>1219</x:v>
      </x:c>
      <x:c r="K212" t="s">
        <x:v>115</x:v>
      </x:c>
      <x:c r="L212" t="s">
        <x:v>1457</x:v>
      </x:c>
      <x:c r="M212">
        <x:v>1</x:v>
      </x:c>
    </x:row>
    <x:row r="213">
      <x:c r="A213" t="s">
        <x:v>1220</x:v>
      </x:c>
      <x:c r="B213" t="s">
        <x:v>1222</x:v>
      </x:c>
      <x:c r="C213" t="s">
        <x:v>679</x:v>
      </x:c>
      <x:c r="D213" t="s">
        <x:v>109</x:v>
      </x:c>
      <x:c r="E213" t="s">
        <x:v>347</x:v>
      </x:c>
      <x:c r="F213" t="s">
        <x:v>1706</x:v>
      </x:c>
      <x:c r="G213" t="s">
        <x:v>1223</x:v>
      </x:c>
      <x:c r="H213" t="s">
        <x:v>31</x:v>
      </x:c>
      <x:c r="I213" s="5" t="s">
        <x:v>1705</x:v>
      </x:c>
      <x:c r="J213" t="s">
        <x:v>1224</x:v>
      </x:c>
      <x:c r="K213" t="s">
        <x:v>115</x:v>
      </x:c>
      <x:c r="L213" t="s">
        <x:v>1457</x:v>
      </x:c>
      <x:c r="M213">
        <x:v>1</x:v>
      </x:c>
    </x:row>
    <x:row r="214">
      <x:c r="A214" t="s">
        <x:v>1225</x:v>
      </x:c>
      <x:c r="B214" t="s">
        <x:v>1227</x:v>
      </x:c>
      <x:c r="C214" t="s">
        <x:v>679</x:v>
      </x:c>
      <x:c r="D214" t="s">
        <x:v>109</x:v>
      </x:c>
      <x:c r="E214" t="s">
        <x:v>153</x:v>
      </x:c>
      <x:c r="F214" t="s">
        <x:v>1707</x:v>
      </x:c>
      <x:c r="G214" t="s">
        <x:v>1228</x:v>
      </x:c>
      <x:c r="H214" t="s">
        <x:v>31</x:v>
      </x:c>
      <x:c r="I214" s="5" t="s">
        <x:v>1481</x:v>
      </x:c>
      <x:c r="J214" t="s">
        <x:v>1229</x:v>
      </x:c>
      <x:c r="K214" t="s">
        <x:v>40</x:v>
      </x:c>
      <x:c r="L214" t="s">
        <x:v>1457</x:v>
      </x:c>
      <x:c r="M214">
        <x:v>1</x:v>
      </x:c>
    </x:row>
    <x:row r="215">
      <x:c r="A215" t="s">
        <x:v>1230</x:v>
      </x:c>
      <x:c r="B215" t="s">
        <x:v>1232</x:v>
      </x:c>
      <x:c r="C215" t="s">
        <x:v>679</x:v>
      </x:c>
      <x:c r="D215" t="s">
        <x:v>109</x:v>
      </x:c>
      <x:c r="E215" t="s">
        <x:v>153</x:v>
      </x:c>
      <x:c r="F215" t="s">
        <x:v>1708</x:v>
      </x:c>
      <x:c r="G215" t="s">
        <x:v>1233</x:v>
      </x:c>
      <x:c r="H215" t="s">
        <x:v>31</x:v>
      </x:c>
      <x:c r="I215" s="5" t="s">
        <x:v>1481</x:v>
      </x:c>
      <x:c r="J215" t="s">
        <x:v>1234</x:v>
      </x:c>
      <x:c r="K215" t="s">
        <x:v>40</x:v>
      </x:c>
      <x:c r="L215" t="s">
        <x:v>1457</x:v>
      </x:c>
      <x:c r="M215">
        <x:v>1</x:v>
      </x:c>
    </x:row>
    <x:row r="216">
      <x:c r="A216" t="s">
        <x:v>1235</x:v>
      </x:c>
      <x:c r="B216" t="s">
        <x:v>1237</x:v>
      </x:c>
      <x:c r="C216" t="s">
        <x:v>679</x:v>
      </x:c>
      <x:c r="D216" t="s">
        <x:v>109</x:v>
      </x:c>
      <x:c r="E216" t="s">
        <x:v>153</x:v>
      </x:c>
      <x:c r="F216" t="s">
        <x:v>1709</x:v>
      </x:c>
      <x:c r="G216" t="s">
        <x:v>1238</x:v>
      </x:c>
      <x:c r="H216" t="s">
        <x:v>31</x:v>
      </x:c>
      <x:c r="I216" s="5" t="s">
        <x:v>1481</x:v>
      </x:c>
      <x:c r="J216" t="s">
        <x:v>1239</x:v>
      </x:c>
      <x:c r="K216" t="s">
        <x:v>40</x:v>
      </x:c>
      <x:c r="L216" t="s">
        <x:v>1457</x:v>
      </x:c>
      <x:c r="M216">
        <x:v>1</x:v>
      </x:c>
    </x:row>
    <x:row r="217">
      <x:c r="A217" t="s">
        <x:v>1240</x:v>
      </x:c>
      <x:c r="B217" t="s">
        <x:v>1242</x:v>
      </x:c>
      <x:c r="C217" t="s">
        <x:v>679</x:v>
      </x:c>
      <x:c r="D217" t="s">
        <x:v>109</x:v>
      </x:c>
      <x:c r="E217" t="s">
        <x:v>153</x:v>
      </x:c>
      <x:c r="F217" t="s">
        <x:v>1710</x:v>
      </x:c>
      <x:c r="G217" t="s">
        <x:v>1243</x:v>
      </x:c>
      <x:c r="H217" t="s">
        <x:v>31</x:v>
      </x:c>
      <x:c r="I217" s="5" t="s">
        <x:v>1481</x:v>
      </x:c>
      <x:c r="J217" t="s">
        <x:v>1244</x:v>
      </x:c>
      <x:c r="K217" t="s">
        <x:v>40</x:v>
      </x:c>
      <x:c r="L217" t="s">
        <x:v>1457</x:v>
      </x:c>
      <x:c r="M217">
        <x:v>1</x:v>
      </x:c>
    </x:row>
    <x:row r="218">
      <x:c r="A218" t="s">
        <x:v>1245</x:v>
      </x:c>
      <x:c r="B218" t="s">
        <x:v>1247</x:v>
      </x:c>
      <x:c r="C218" t="s">
        <x:v>679</x:v>
      </x:c>
      <x:c r="D218" t="s">
        <x:v>109</x:v>
      </x:c>
      <x:c r="E218" t="s">
        <x:v>1055</x:v>
      </x:c>
      <x:c r="F218" t="s">
        <x:v>1711</x:v>
      </x:c>
      <x:c r="G218" t="s">
        <x:v>1248</x:v>
      </x:c>
      <x:c r="H218" t="s">
        <x:v>31</x:v>
      </x:c>
      <x:c r="I218" s="5" t="s">
        <x:v>1671</x:v>
      </x:c>
      <x:c r="J218" t="s">
        <x:v>1249</x:v>
      </x:c>
      <x:c r="K218" t="s">
        <x:v>40</x:v>
      </x:c>
      <x:c r="L218" t="s">
        <x:v>1457</x:v>
      </x:c>
      <x:c r="M218">
        <x:v>1</x:v>
      </x:c>
    </x:row>
    <x:row r="219">
      <x:c r="A219" t="s">
        <x:v>1250</x:v>
      </x:c>
      <x:c r="B219" t="s">
        <x:v>1252</x:v>
      </x:c>
      <x:c r="C219" t="s">
        <x:v>679</x:v>
      </x:c>
      <x:c r="D219" t="s">
        <x:v>109</x:v>
      </x:c>
      <x:c r="E219" t="s">
        <x:v>305</x:v>
      </x:c>
      <x:c r="F219" t="s">
        <x:v>1712</x:v>
      </x:c>
      <x:c r="G219" t="s">
        <x:v>1253</x:v>
      </x:c>
      <x:c r="H219" t="s">
        <x:v>31</x:v>
      </x:c>
      <x:c r="I219" s="5" t="s">
        <x:v>1513</x:v>
      </x:c>
      <x:c r="J219" t="s">
        <x:v>1254</x:v>
      </x:c>
      <x:c r="K219" t="s">
        <x:v>40</x:v>
      </x:c>
      <x:c r="L219" t="s">
        <x:v>1457</x:v>
      </x:c>
      <x:c r="M219">
        <x:v>1</x:v>
      </x:c>
    </x:row>
    <x:row r="220">
      <x:c r="A220" t="s">
        <x:v>1255</x:v>
      </x:c>
      <x:c r="B220" t="s">
        <x:v>1257</x:v>
      </x:c>
      <x:c r="C220" t="s">
        <x:v>679</x:v>
      </x:c>
      <x:c r="D220" t="s">
        <x:v>109</x:v>
      </x:c>
      <x:c r="E220" t="s">
        <x:v>176</x:v>
      </x:c>
      <x:c r="F220" t="s">
        <x:v>1713</x:v>
      </x:c>
      <x:c r="G220" t="s">
        <x:v>1258</x:v>
      </x:c>
      <x:c r="H220" t="s">
        <x:v>31</x:v>
      </x:c>
      <x:c r="I220" s="5" t="s">
        <x:v>1486</x:v>
      </x:c>
      <x:c r="J220" t="s">
        <x:v>1256</x:v>
      </x:c>
      <x:c r="K220" t="s">
        <x:v>40</x:v>
      </x:c>
      <x:c r="L220" t="s">
        <x:v>1457</x:v>
      </x:c>
      <x:c r="M220">
        <x:v>1</x:v>
      </x:c>
    </x:row>
    <x:row r="221">
      <x:c r="A221" t="s">
        <x:v>1259</x:v>
      </x:c>
      <x:c r="B221" t="s">
        <x:v>337</x:v>
      </x:c>
      <x:c r="C221" t="s">
        <x:v>679</x:v>
      </x:c>
      <x:c r="D221" t="s">
        <x:v>109</x:v>
      </x:c>
      <x:c r="E221" t="s">
        <x:v>332</x:v>
      </x:c>
      <x:c r="F221" t="s">
        <x:v>1714</x:v>
      </x:c>
      <x:c r="G221" t="s">
        <x:v>1261</x:v>
      </x:c>
      <x:c r="H221" t="s">
        <x:v>31</x:v>
      </x:c>
      <x:c r="I221" s="5" t="s">
        <x:v>1519</x:v>
      </x:c>
      <x:c r="J221" t="s">
        <x:v>1260</x:v>
      </x:c>
      <x:c r="K221" t="s">
        <x:v>40</x:v>
      </x:c>
      <x:c r="L221" t="s">
        <x:v>1457</x:v>
      </x:c>
      <x:c r="M221">
        <x:v>1</x:v>
      </x:c>
    </x:row>
    <x:row r="222">
      <x:c r="A222" t="s">
        <x:v>1262</x:v>
      </x:c>
      <x:c r="B222" t="s">
        <x:v>1264</x:v>
      </x:c>
      <x:c r="C222" t="s">
        <x:v>679</x:v>
      </x:c>
      <x:c r="D222" t="s">
        <x:v>109</x:v>
      </x:c>
      <x:c r="E222" t="s">
        <x:v>184</x:v>
      </x:c>
      <x:c r="F222" t="s">
        <x:v>1715</x:v>
      </x:c>
      <x:c r="G222" t="s">
        <x:v>1265</x:v>
      </x:c>
      <x:c r="H222" t="s">
        <x:v>31</x:v>
      </x:c>
      <x:c r="I222" s="5" t="s">
        <x:v>1488</x:v>
      </x:c>
      <x:c r="J222" t="s">
        <x:v>1266</x:v>
      </x:c>
      <x:c r="K222" t="s">
        <x:v>40</x:v>
      </x:c>
      <x:c r="L222" t="s">
        <x:v>1457</x:v>
      </x:c>
      <x:c r="M222">
        <x:v>1</x:v>
      </x:c>
    </x:row>
    <x:row r="223">
      <x:c r="A223" t="s">
        <x:v>1267</x:v>
      </x:c>
      <x:c r="B223" t="s">
        <x:v>1269</x:v>
      </x:c>
      <x:c r="C223" t="s">
        <x:v>1270</x:v>
      </x:c>
      <x:c r="D223" t="s">
        <x:v>109</x:v>
      </x:c>
      <x:c r="E223" t="s">
        <x:v>112</x:v>
      </x:c>
      <x:c r="F223" t="s">
        <x:v>1491</x:v>
      </x:c>
      <x:c r="G223" t="s">
        <x:v>197</x:v>
      </x:c>
      <x:c r="H223" t="s">
        <x:v>31</x:v>
      </x:c>
      <x:c r="I223" s="5" t="s">
        <x:v>1473</x:v>
      </x:c>
      <x:c r="J223" t="s">
        <x:v>1271</x:v>
      </x:c>
      <x:c r="K223" t="s">
        <x:v>115</x:v>
      </x:c>
      <x:c r="L223" t="s">
        <x:v>1457</x:v>
      </x:c>
      <x:c r="M223">
        <x:v>1</x:v>
      </x:c>
    </x:row>
    <x:row r="224">
      <x:c r="A224" t="s">
        <x:v>1273</x:v>
      </x:c>
      <x:c r="B224" t="s">
        <x:v>394</x:v>
      </x:c>
      <x:c r="C224" t="s">
        <x:v>1270</x:v>
      </x:c>
      <x:c r="D224" t="s">
        <x:v>109</x:v>
      </x:c>
      <x:c r="E224" t="s">
        <x:v>112</x:v>
      </x:c>
      <x:c r="F224" t="s">
        <x:v>1491</x:v>
      </x:c>
      <x:c r="G224" t="s">
        <x:v>197</x:v>
      </x:c>
      <x:c r="H224" t="s">
        <x:v>31</x:v>
      </x:c>
      <x:c r="I224" s="5" t="s">
        <x:v>1473</x:v>
      </x:c>
      <x:c r="J224" t="s">
        <x:v>1275</x:v>
      </x:c>
      <x:c r="K224" t="s">
        <x:v>115</x:v>
      </x:c>
      <x:c r="L224" t="s">
        <x:v>1457</x:v>
      </x:c>
      <x:c r="M224">
        <x:v>1</x:v>
      </x:c>
    </x:row>
    <x:row r="225">
      <x:c r="A225" t="s">
        <x:v>1276</x:v>
      </x:c>
      <x:c r="B225" t="s">
        <x:v>1278</x:v>
      </x:c>
      <x:c r="C225" t="s">
        <x:v>1270</x:v>
      </x:c>
      <x:c r="D225" t="s">
        <x:v>109</x:v>
      </x:c>
      <x:c r="E225" t="s">
        <x:v>133</x:v>
      </x:c>
      <x:c r="F225" t="s">
        <x:v>1577</x:v>
      </x:c>
      <x:c r="G225" t="s">
        <x:v>134</x:v>
      </x:c>
      <x:c r="H225" t="s">
        <x:v>31</x:v>
      </x:c>
      <x:c r="I225" s="5" t="s">
        <x:v>1477</x:v>
      </x:c>
      <x:c r="J225" t="s">
        <x:v>1279</x:v>
      </x:c>
      <x:c r="K225" t="s">
        <x:v>115</x:v>
      </x:c>
      <x:c r="L225" t="s">
        <x:v>1457</x:v>
      </x:c>
      <x:c r="M225">
        <x:v>1</x:v>
      </x:c>
    </x:row>
    <x:row r="226">
      <x:c r="A226" t="s">
        <x:v>1280</x:v>
      </x:c>
      <x:c r="B226" t="s">
        <x:v>1282</x:v>
      </x:c>
      <x:c r="C226" t="s">
        <x:v>1270</x:v>
      </x:c>
      <x:c r="D226" t="s">
        <x:v>109</x:v>
      </x:c>
      <x:c r="E226" t="s">
        <x:v>112</x:v>
      </x:c>
      <x:c r="F226" t="s">
        <x:v>1491</x:v>
      </x:c>
      <x:c r="G226" t="s">
        <x:v>197</x:v>
      </x:c>
      <x:c r="H226" t="s">
        <x:v>31</x:v>
      </x:c>
      <x:c r="I226" s="5" t="s">
        <x:v>1716</x:v>
      </x:c>
      <x:c r="J226" s="6" t="s">
        <x:v>1717</x:v>
      </x:c>
      <x:c r="K226" t="s">
        <x:v>40</x:v>
      </x:c>
      <x:c r="L226" t="s">
        <x:v>1457</x:v>
      </x:c>
      <x:c r="M226">
        <x:v>1</x:v>
      </x:c>
    </x:row>
    <x:row r="227">
      <x:c r="A227" t="s">
        <x:v>1283</x:v>
      </x:c>
      <x:c r="B227" t="s">
        <x:v>1285</x:v>
      </x:c>
      <x:c r="C227" t="s">
        <x:v>1270</x:v>
      </x:c>
      <x:c r="D227" t="s">
        <x:v>109</x:v>
      </x:c>
      <x:c r="E227" t="s">
        <x:v>76</x:v>
      </x:c>
      <x:c r="F227" t="s">
        <x:v>1663</x:v>
      </x:c>
      <x:c r="G227" t="s">
        <x:v>1286</x:v>
      </x:c>
      <x:c r="H227" t="s">
        <x:v>31</x:v>
      </x:c>
      <x:c r="I227" s="5" t="s">
        <x:v>1465</x:v>
      </x:c>
      <x:c r="J227" s="6" t="s">
        <x:v>1717</x:v>
      </x:c>
      <x:c r="K227" t="s">
        <x:v>40</x:v>
      </x:c>
      <x:c r="L227" t="s">
        <x:v>1457</x:v>
      </x:c>
      <x:c r="M227">
        <x:v>1</x:v>
      </x:c>
    </x:row>
    <x:row r="228">
      <x:c r="A228" t="s">
        <x:v>1287</x:v>
      </x:c>
      <x:c r="B228" t="s">
        <x:v>1289</x:v>
      </x:c>
      <x:c r="C228" t="s">
        <x:v>1270</x:v>
      </x:c>
      <x:c r="D228" t="s">
        <x:v>109</x:v>
      </x:c>
      <x:c r="E228" t="s">
        <x:v>223</x:v>
      </x:c>
      <x:c r="F228" t="s">
        <x:v>1495</x:v>
      </x:c>
      <x:c r="G228" t="s">
        <x:v>893</x:v>
      </x:c>
      <x:c r="H228" t="s">
        <x:v>31</x:v>
      </x:c>
      <x:c r="I228" s="5" t="s">
        <x:v>1496</x:v>
      </x:c>
      <x:c r="J228" s="6" t="s">
        <x:v>1717</x:v>
      </x:c>
      <x:c r="K228" t="s">
        <x:v>40</x:v>
      </x:c>
      <x:c r="L228" t="s">
        <x:v>1457</x:v>
      </x:c>
      <x:c r="M228">
        <x:v>1</x:v>
      </x:c>
    </x:row>
    <x:row r="229">
      <x:c r="A229" t="s">
        <x:v>1290</x:v>
      </x:c>
      <x:c r="B229" t="s">
        <x:v>1292</x:v>
      </x:c>
      <x:c r="C229" t="s">
        <x:v>1270</x:v>
      </x:c>
      <x:c r="D229" t="s">
        <x:v>109</x:v>
      </x:c>
      <x:c r="E229" t="s">
        <x:v>695</x:v>
      </x:c>
      <x:c r="F229" t="s">
        <x:v>1594</x:v>
      </x:c>
      <x:c r="G229" t="s">
        <x:v>1293</x:v>
      </x:c>
      <x:c r="H229" t="s">
        <x:v>31</x:v>
      </x:c>
      <x:c r="I229" s="5" t="s">
        <x:v>1593</x:v>
      </x:c>
      <x:c r="J229" s="6" t="s">
        <x:v>1717</x:v>
      </x:c>
      <x:c r="K229" t="s">
        <x:v>40</x:v>
      </x:c>
      <x:c r="L229" t="s">
        <x:v>1457</x:v>
      </x:c>
      <x:c r="M229">
        <x:v>1</x:v>
      </x:c>
    </x:row>
    <x:row r="230">
      <x:c r="A230" t="s">
        <x:v>1294</x:v>
      </x:c>
      <x:c r="B230" t="s">
        <x:v>1296</x:v>
      </x:c>
      <x:c r="C230" t="s">
        <x:v>1270</x:v>
      </x:c>
      <x:c r="D230" t="s">
        <x:v>109</x:v>
      </x:c>
      <x:c r="E230" t="s">
        <x:v>472</x:v>
      </x:c>
      <x:c r="F230" t="s">
        <x:v>1595</x:v>
      </x:c>
      <x:c r="G230" t="s">
        <x:v>1297</x:v>
      </x:c>
      <x:c r="H230" t="s">
        <x:v>31</x:v>
      </x:c>
      <x:c r="I230" s="5" t="s">
        <x:v>1546</x:v>
      </x:c>
      <x:c r="J230" s="6" t="s">
        <x:v>1717</x:v>
      </x:c>
      <x:c r="K230" t="s">
        <x:v>40</x:v>
      </x:c>
      <x:c r="L230" t="s">
        <x:v>1457</x:v>
      </x:c>
      <x:c r="M230">
        <x:v>1</x:v>
      </x:c>
    </x:row>
    <x:row r="231">
      <x:c r="A231" t="s">
        <x:v>1298</x:v>
      </x:c>
      <x:c r="B231" t="s">
        <x:v>1300</x:v>
      </x:c>
      <x:c r="C231" t="s">
        <x:v>1270</x:v>
      </x:c>
      <x:c r="D231" t="s">
        <x:v>109</x:v>
      </x:c>
      <x:c r="E231" t="s">
        <x:v>759</x:v>
      </x:c>
      <x:c r="F231" t="s">
        <x:v>1605</x:v>
      </x:c>
      <x:c r="G231" t="s">
        <x:v>1301</x:v>
      </x:c>
      <x:c r="H231" t="s">
        <x:v>31</x:v>
      </x:c>
      <x:c r="I231" s="5" t="s">
        <x:v>1548</x:v>
      </x:c>
      <x:c r="J231" s="6" t="s">
        <x:v>1717</x:v>
      </x:c>
      <x:c r="K231" t="s">
        <x:v>40</x:v>
      </x:c>
      <x:c r="L231" t="s">
        <x:v>1457</x:v>
      </x:c>
      <x:c r="M231">
        <x:v>1</x:v>
      </x:c>
    </x:row>
    <x:row r="232">
      <x:c r="A232" t="s">
        <x:v>1302</x:v>
      </x:c>
      <x:c r="B232" t="s">
        <x:v>1304</x:v>
      </x:c>
      <x:c r="C232" t="s">
        <x:v>1270</x:v>
      </x:c>
      <x:c r="D232" t="s">
        <x:v>109</x:v>
      </x:c>
      <x:c r="E232" t="s">
        <x:v>996</x:v>
      </x:c>
      <x:c r="F232" t="s">
        <x:v>1581</x:v>
      </x:c>
      <x:c r="G232" t="s">
        <x:v>1305</x:v>
      </x:c>
      <x:c r="H232" t="s">
        <x:v>31</x:v>
      </x:c>
      <x:c r="I232" s="5" t="s">
        <x:v>1556</x:v>
      </x:c>
      <x:c r="J232" s="6" t="s">
        <x:v>1717</x:v>
      </x:c>
      <x:c r="K232" t="s">
        <x:v>40</x:v>
      </x:c>
      <x:c r="L232" t="s">
        <x:v>1457</x:v>
      </x:c>
      <x:c r="M232">
        <x:v>1</x:v>
      </x:c>
    </x:row>
    <x:row r="233">
      <x:c r="A233" t="s">
        <x:v>1306</x:v>
      </x:c>
      <x:c r="B233" t="s">
        <x:v>1308</x:v>
      </x:c>
      <x:c r="C233" t="s">
        <x:v>1270</x:v>
      </x:c>
      <x:c r="D233" t="s">
        <x:v>109</x:v>
      </x:c>
      <x:c r="E233" t="s">
        <x:v>838</x:v>
      </x:c>
      <x:c r="F233" t="s">
        <x:v>1623</x:v>
      </x:c>
      <x:c r="G233" t="s">
        <x:v>1309</x:v>
      </x:c>
      <x:c r="H233" t="s">
        <x:v>31</x:v>
      </x:c>
      <x:c r="I233" s="5" t="s">
        <x:v>1553</x:v>
      </x:c>
      <x:c r="J233" s="6" t="s">
        <x:v>1717</x:v>
      </x:c>
      <x:c r="K233" t="s">
        <x:v>40</x:v>
      </x:c>
      <x:c r="L233" t="s">
        <x:v>1457</x:v>
      </x:c>
      <x:c r="M233">
        <x:v>1</x:v>
      </x:c>
    </x:row>
    <x:row r="234">
      <x:c r="A234" t="s">
        <x:v>1310</x:v>
      </x:c>
      <x:c r="B234" t="s">
        <x:v>1312</x:v>
      </x:c>
      <x:c r="C234" t="s">
        <x:v>1270</x:v>
      </x:c>
      <x:c r="D234" t="s">
        <x:v>109</x:v>
      </x:c>
      <x:c r="E234" t="s">
        <x:v>59</x:v>
      </x:c>
      <x:c r="F234" t="s">
        <x:v>1686</x:v>
      </x:c>
      <x:c r="G234" t="s">
        <x:v>318</x:v>
      </x:c>
      <x:c r="H234" t="s">
        <x:v>31</x:v>
      </x:c>
      <x:c r="I234" s="5" t="s">
        <x:v>1461</x:v>
      </x:c>
      <x:c r="J234" s="6" t="s">
        <x:v>1717</x:v>
      </x:c>
      <x:c r="K234" t="s">
        <x:v>40</x:v>
      </x:c>
      <x:c r="L234" t="s">
        <x:v>1457</x:v>
      </x:c>
      <x:c r="M234">
        <x:v>1</x:v>
      </x:c>
    </x:row>
    <x:row r="235">
      <x:c r="A235" t="s">
        <x:v>1313</x:v>
      </x:c>
      <x:c r="B235" t="s">
        <x:v>1315</x:v>
      </x:c>
      <x:c r="C235" t="s">
        <x:v>1270</x:v>
      </x:c>
      <x:c r="D235" t="s">
        <x:v>109</x:v>
      </x:c>
      <x:c r="E235" t="s">
        <x:v>774</x:v>
      </x:c>
      <x:c r="F235" t="s">
        <x:v>1607</x:v>
      </x:c>
      <x:c r="G235" t="s">
        <x:v>809</x:v>
      </x:c>
      <x:c r="H235" t="s">
        <x:v>31</x:v>
      </x:c>
      <x:c r="I235" s="5" t="s">
        <x:v>1608</x:v>
      </x:c>
      <x:c r="J235" s="6" t="s">
        <x:v>1717</x:v>
      </x:c>
      <x:c r="K235" t="s">
        <x:v>40</x:v>
      </x:c>
      <x:c r="L235" t="s">
        <x:v>1457</x:v>
      </x:c>
      <x:c r="M235">
        <x:v>1</x:v>
      </x:c>
    </x:row>
    <x:row r="236">
      <x:c r="A236" t="s">
        <x:v>1316</x:v>
      </x:c>
      <x:c r="B236" t="s">
        <x:v>1318</x:v>
      </x:c>
      <x:c r="C236" t="s">
        <x:v>1270</x:v>
      </x:c>
      <x:c r="D236" t="s">
        <x:v>109</x:v>
      </x:c>
      <x:c r="E236" t="s">
        <x:v>37</x:v>
      </x:c>
      <x:c r="F236" t="s">
        <x:v>1499</x:v>
      </x:c>
      <x:c r="G236" t="s">
        <x:v>39</x:v>
      </x:c>
      <x:c r="H236" t="s">
        <x:v>31</x:v>
      </x:c>
      <x:c r="I236" s="5" t="s">
        <x:v>1500</x:v>
      </x:c>
      <x:c r="J236" s="6" t="s">
        <x:v>1717</x:v>
      </x:c>
      <x:c r="K236" t="s">
        <x:v>40</x:v>
      </x:c>
      <x:c r="L236" t="s">
        <x:v>1457</x:v>
      </x:c>
      <x:c r="M236">
        <x:v>1</x:v>
      </x:c>
    </x:row>
    <x:row r="237">
      <x:c r="A237" t="s">
        <x:v>1319</x:v>
      </x:c>
      <x:c r="B237" t="s">
        <x:v>1321</x:v>
      </x:c>
      <x:c r="C237" t="s">
        <x:v>1270</x:v>
      </x:c>
      <x:c r="D237" t="s">
        <x:v>109</x:v>
      </x:c>
      <x:c r="E237" t="s">
        <x:v>265</x:v>
      </x:c>
      <x:c r="F237" t="s">
        <x:v>1619</x:v>
      </x:c>
      <x:c r="G237" t="s">
        <x:v>765</x:v>
      </x:c>
      <x:c r="H237" t="s">
        <x:v>31</x:v>
      </x:c>
      <x:c r="I237" s="5" t="s">
        <x:v>1505</x:v>
      </x:c>
      <x:c r="J237" s="6" t="s">
        <x:v>1717</x:v>
      </x:c>
      <x:c r="K237" t="s">
        <x:v>40</x:v>
      </x:c>
      <x:c r="L237" t="s">
        <x:v>1457</x:v>
      </x:c>
      <x:c r="M237">
        <x:v>1</x:v>
      </x:c>
    </x:row>
    <x:row r="238">
      <x:c r="A238" t="s">
        <x:v>1322</x:v>
      </x:c>
      <x:c r="B238" t="s">
        <x:v>1324</x:v>
      </x:c>
      <x:c r="C238" t="s">
        <x:v>1270</x:v>
      </x:c>
      <x:c r="D238" t="s">
        <x:v>109</x:v>
      </x:c>
      <x:c r="E238" t="s">
        <x:v>94</x:v>
      </x:c>
      <x:c r="F238" t="s">
        <x:v>1493</x:v>
      </x:c>
      <x:c r="G238" t="s">
        <x:v>1325</x:v>
      </x:c>
      <x:c r="H238" t="s">
        <x:v>31</x:v>
      </x:c>
      <x:c r="I238" s="5" t="s">
        <x:v>1469</x:v>
      </x:c>
      <x:c r="J238" s="6" t="s">
        <x:v>1717</x:v>
      </x:c>
      <x:c r="K238" t="s">
        <x:v>40</x:v>
      </x:c>
      <x:c r="L238" t="s">
        <x:v>1457</x:v>
      </x:c>
      <x:c r="M238">
        <x:v>1</x:v>
      </x:c>
    </x:row>
    <x:row r="239">
      <x:c r="A239" t="s">
        <x:v>1326</x:v>
      </x:c>
      <x:c r="B239" t="s">
        <x:v>1328</x:v>
      </x:c>
      <x:c r="C239" t="s">
        <x:v>1270</x:v>
      </x:c>
      <x:c r="D239" t="s">
        <x:v>109</x:v>
      </x:c>
      <x:c r="E239" t="s">
        <x:v>295</x:v>
      </x:c>
      <x:c r="F239" t="s">
        <x:v>1510</x:v>
      </x:c>
      <x:c r="G239" t="s">
        <x:v>1011</x:v>
      </x:c>
      <x:c r="H239" t="s">
        <x:v>31</x:v>
      </x:c>
      <x:c r="I239" s="5" t="s">
        <x:v>1511</x:v>
      </x:c>
      <x:c r="J239" s="6" t="s">
        <x:v>1717</x:v>
      </x:c>
      <x:c r="K239" t="s">
        <x:v>40</x:v>
      </x:c>
      <x:c r="L239" t="s">
        <x:v>1457</x:v>
      </x:c>
      <x:c r="M239">
        <x:v>1</x:v>
      </x:c>
    </x:row>
    <x:row r="240">
      <x:c r="A240" t="s">
        <x:v>1329</x:v>
      </x:c>
      <x:c r="B240" t="s">
        <x:v>1331</x:v>
      </x:c>
      <x:c r="C240" t="s">
        <x:v>1270</x:v>
      </x:c>
      <x:c r="D240" t="s">
        <x:v>109</x:v>
      </x:c>
      <x:c r="E240" t="s">
        <x:v>275</x:v>
      </x:c>
      <x:c r="F240" t="s">
        <x:v>1506</x:v>
      </x:c>
      <x:c r="G240" t="s">
        <x:v>1332</x:v>
      </x:c>
      <x:c r="H240" t="s">
        <x:v>31</x:v>
      </x:c>
      <x:c r="I240" s="5" t="s">
        <x:v>1507</x:v>
      </x:c>
      <x:c r="J240" s="6" t="s">
        <x:v>1717</x:v>
      </x:c>
      <x:c r="K240" t="s">
        <x:v>40</x:v>
      </x:c>
      <x:c r="L240" t="s">
        <x:v>1457</x:v>
      </x:c>
      <x:c r="M240">
        <x:v>1</x:v>
      </x:c>
    </x:row>
    <x:row r="241">
      <x:c r="A241" t="s">
        <x:v>1333</x:v>
      </x:c>
      <x:c r="B241" t="s">
        <x:v>1335</x:v>
      </x:c>
      <x:c r="C241" t="s">
        <x:v>1270</x:v>
      </x:c>
      <x:c r="D241" t="s">
        <x:v>109</x:v>
      </x:c>
      <x:c r="E241" t="s">
        <x:v>347</x:v>
      </x:c>
      <x:c r="F241" t="s">
        <x:v>1529</x:v>
      </x:c>
      <x:c r="G241" t="s">
        <x:v>375</x:v>
      </x:c>
      <x:c r="H241" t="s">
        <x:v>31</x:v>
      </x:c>
      <x:c r="I241" s="5" t="s">
        <x:v>1528</x:v>
      </x:c>
      <x:c r="J241" s="6" t="s">
        <x:v>1717</x:v>
      </x:c>
      <x:c r="K241" t="s">
        <x:v>40</x:v>
      </x:c>
      <x:c r="L241" t="s">
        <x:v>1457</x:v>
      </x:c>
      <x:c r="M241">
        <x:v>1</x:v>
      </x:c>
    </x:row>
    <x:row r="242">
      <x:c r="A242" t="s">
        <x:v>1336</x:v>
      </x:c>
      <x:c r="B242" t="s">
        <x:v>1338</x:v>
      </x:c>
      <x:c r="C242" t="s">
        <x:v>1270</x:v>
      </x:c>
      <x:c r="D242" t="s">
        <x:v>109</x:v>
      </x:c>
      <x:c r="E242" t="s">
        <x:v>725</x:v>
      </x:c>
      <x:c r="F242" t="s">
        <x:v>1601</x:v>
      </x:c>
      <x:c r="G242" t="s">
        <x:v>736</x:v>
      </x:c>
      <x:c r="H242" t="s">
        <x:v>31</x:v>
      </x:c>
      <x:c r="I242" s="5" t="s">
        <x:v>1599</x:v>
      </x:c>
      <x:c r="J242" s="6" t="s">
        <x:v>1717</x:v>
      </x:c>
      <x:c r="K242" t="s">
        <x:v>40</x:v>
      </x:c>
      <x:c r="L242" t="s">
        <x:v>1457</x:v>
      </x:c>
      <x:c r="M242">
        <x:v>1</x:v>
      </x:c>
    </x:row>
    <x:row r="243">
      <x:c r="A243" t="s">
        <x:v>1339</x:v>
      </x:c>
      <x:c r="B243" t="s">
        <x:v>1341</x:v>
      </x:c>
      <x:c r="C243" t="s">
        <x:v>1270</x:v>
      </x:c>
      <x:c r="D243" t="s">
        <x:v>109</x:v>
      </x:c>
      <x:c r="E243" t="s">
        <x:v>125</x:v>
      </x:c>
      <x:c r="F243" t="s">
        <x:v>1474</x:v>
      </x:c>
      <x:c r="G243" t="s">
        <x:v>1342</x:v>
      </x:c>
      <x:c r="H243" t="s">
        <x:v>31</x:v>
      </x:c>
      <x:c r="I243" s="5" t="s">
        <x:v>1475</x:v>
      </x:c>
      <x:c r="J243" t="s">
        <x:v>1343</x:v>
      </x:c>
      <x:c r="K243" t="s">
        <x:v>40</x:v>
      </x:c>
      <x:c r="L243" t="s">
        <x:v>1457</x:v>
      </x:c>
      <x:c r="M243">
        <x:v>1</x:v>
      </x:c>
    </x:row>
    <x:row r="244">
      <x:c r="A244" t="s">
        <x:v>1344</x:v>
      </x:c>
      <x:c r="B244" t="s">
        <x:v>1346</x:v>
      </x:c>
      <x:c r="C244" t="s">
        <x:v>1270</x:v>
      </x:c>
      <x:c r="D244" t="s">
        <x:v>109</x:v>
      </x:c>
      <x:c r="E244" t="s">
        <x:v>250</x:v>
      </x:c>
      <x:c r="F244" t="s">
        <x:v>1501</x:v>
      </x:c>
      <x:c r="G244" t="s">
        <x:v>1347</x:v>
      </x:c>
      <x:c r="H244" t="s">
        <x:v>31</x:v>
      </x:c>
      <x:c r="I244" s="5" t="s">
        <x:v>1502</x:v>
      </x:c>
      <x:c r="J244" s="6" t="s">
        <x:v>1717</x:v>
      </x:c>
      <x:c r="K244" t="s">
        <x:v>40</x:v>
      </x:c>
      <x:c r="L244" t="s">
        <x:v>1457</x:v>
      </x:c>
      <x:c r="M244">
        <x:v>1</x:v>
      </x:c>
    </x:row>
    <x:row r="245">
      <x:c r="A245" t="s">
        <x:v>1348</x:v>
      </x:c>
      <x:c r="B245" t="s">
        <x:v>1350</x:v>
      </x:c>
      <x:c r="C245" t="s">
        <x:v>1270</x:v>
      </x:c>
      <x:c r="D245" t="s">
        <x:v>109</x:v>
      </x:c>
      <x:c r="E245" t="s">
        <x:v>143</x:v>
      </x:c>
      <x:c r="F245" t="s">
        <x:v>1478</x:v>
      </x:c>
      <x:c r="G245" t="s">
        <x:v>144</x:v>
      </x:c>
      <x:c r="H245" t="s">
        <x:v>31</x:v>
      </x:c>
      <x:c r="I245" s="5" t="s">
        <x:v>1479</x:v>
      </x:c>
      <x:c r="J245" t="s">
        <x:v>1351</x:v>
      </x:c>
      <x:c r="K245" t="s">
        <x:v>40</x:v>
      </x:c>
      <x:c r="L245" t="s">
        <x:v>1457</x:v>
      </x:c>
      <x:c r="M245">
        <x:v>1</x:v>
      </x:c>
    </x:row>
    <x:row r="246">
      <x:c r="A246" t="s">
        <x:v>1352</x:v>
      </x:c>
      <x:c r="B246" t="s">
        <x:v>1354</x:v>
      </x:c>
      <x:c r="C246" t="s">
        <x:v>1270</x:v>
      </x:c>
      <x:c r="D246" t="s">
        <x:v>109</x:v>
      </x:c>
      <x:c r="E246" t="s">
        <x:v>233</x:v>
      </x:c>
      <x:c r="F246" t="s">
        <x:v>1497</x:v>
      </x:c>
      <x:c r="G246" t="s">
        <x:v>1355</x:v>
      </x:c>
      <x:c r="H246" t="s">
        <x:v>31</x:v>
      </x:c>
      <x:c r="I246" s="5" t="s">
        <x:v>1498</x:v>
      </x:c>
      <x:c r="J246" s="6" t="s">
        <x:v>1717</x:v>
      </x:c>
      <x:c r="K246" t="s">
        <x:v>40</x:v>
      </x:c>
      <x:c r="L246" t="s">
        <x:v>1457</x:v>
      </x:c>
      <x:c r="M246">
        <x:v>1</x:v>
      </x:c>
    </x:row>
    <x:row r="247">
      <x:c r="A247" t="s">
        <x:v>1356</x:v>
      </x:c>
      <x:c r="B247" t="s">
        <x:v>1358</x:v>
      </x:c>
      <x:c r="C247" t="s">
        <x:v>1270</x:v>
      </x:c>
      <x:c r="D247" t="s">
        <x:v>109</x:v>
      </x:c>
      <x:c r="E247" t="s">
        <x:v>153</x:v>
      </x:c>
      <x:c r="F247" t="s">
        <x:v>1579</x:v>
      </x:c>
      <x:c r="G247" t="s">
        <x:v>154</x:v>
      </x:c>
      <x:c r="H247" t="s">
        <x:v>31</x:v>
      </x:c>
      <x:c r="I247" s="5" t="s">
        <x:v>1481</x:v>
      </x:c>
      <x:c r="J247" t="s">
        <x:v>1359</x:v>
      </x:c>
      <x:c r="K247" t="s">
        <x:v>40</x:v>
      </x:c>
      <x:c r="L247" t="s">
        <x:v>1457</x:v>
      </x:c>
      <x:c r="M247">
        <x:v>1</x:v>
      </x:c>
    </x:row>
    <x:row r="248">
      <x:c r="A248" t="s">
        <x:v>1360</x:v>
      </x:c>
      <x:c r="B248" t="s">
        <x:v>1362</x:v>
      </x:c>
      <x:c r="C248" t="s">
        <x:v>1270</x:v>
      </x:c>
      <x:c r="D248" t="s">
        <x:v>109</x:v>
      </x:c>
      <x:c r="E248" t="s">
        <x:v>50</x:v>
      </x:c>
      <x:c r="F248" t="s">
        <x:v>1581</x:v>
      </x:c>
      <x:c r="G248" t="s">
        <x:v>159</x:v>
      </x:c>
      <x:c r="H248" t="s">
        <x:v>31</x:v>
      </x:c>
      <x:c r="I248" s="5" t="s">
        <x:v>1459</x:v>
      </x:c>
      <x:c r="J248" t="s">
        <x:v>1363</x:v>
      </x:c>
      <x:c r="K248" t="s">
        <x:v>40</x:v>
      </x:c>
      <x:c r="L248" t="s">
        <x:v>1457</x:v>
      </x:c>
      <x:c r="M248">
        <x:v>1</x:v>
      </x:c>
    </x:row>
    <x:row r="249">
      <x:c r="A249" t="s">
        <x:v>1364</x:v>
      </x:c>
      <x:c r="B249" t="s">
        <x:v>1366</x:v>
      </x:c>
      <x:c r="C249" t="s">
        <x:v>1270</x:v>
      </x:c>
      <x:c r="D249" t="s">
        <x:v>109</x:v>
      </x:c>
      <x:c r="E249" t="s">
        <x:v>1055</x:v>
      </x:c>
      <x:c r="F249" t="s">
        <x:v>1582</x:v>
      </x:c>
      <x:c r="G249" t="s">
        <x:v>1367</x:v>
      </x:c>
      <x:c r="H249" t="s">
        <x:v>31</x:v>
      </x:c>
      <x:c r="I249" s="5" t="s">
        <x:v>1671</x:v>
      </x:c>
      <x:c r="J249" t="s">
        <x:v>1368</x:v>
      </x:c>
      <x:c r="K249" t="s">
        <x:v>40</x:v>
      </x:c>
      <x:c r="L249" t="s">
        <x:v>1457</x:v>
      </x:c>
      <x:c r="M249">
        <x:v>1</x:v>
      </x:c>
    </x:row>
    <x:row r="250">
      <x:c r="A250" t="s">
        <x:v>1369</x:v>
      </x:c>
      <x:c r="B250" t="s">
        <x:v>1371</x:v>
      </x:c>
      <x:c r="C250" t="s">
        <x:v>1270</x:v>
      </x:c>
      <x:c r="D250" t="s">
        <x:v>109</x:v>
      </x:c>
      <x:c r="E250" t="s">
        <x:v>168</x:v>
      </x:c>
      <x:c r="F250" t="s">
        <x:v>1582</x:v>
      </x:c>
      <x:c r="G250" t="s">
        <x:v>1372</x:v>
      </x:c>
      <x:c r="H250" t="s">
        <x:v>31</x:v>
      </x:c>
      <x:c r="I250" s="5" t="s">
        <x:v>1484</x:v>
      </x:c>
      <x:c r="J250" s="6" t="s">
        <x:v>1717</x:v>
      </x:c>
      <x:c r="K250" t="s">
        <x:v>40</x:v>
      </x:c>
      <x:c r="L250" t="s">
        <x:v>1457</x:v>
      </x:c>
      <x:c r="M250">
        <x:v>1</x:v>
      </x:c>
    </x:row>
    <x:row r="251">
      <x:c r="A251" t="s">
        <x:v>1373</x:v>
      </x:c>
      <x:c r="B251" t="s">
        <x:v>1375</x:v>
      </x:c>
      <x:c r="C251" t="s">
        <x:v>1270</x:v>
      </x:c>
      <x:c r="D251" t="s">
        <x:v>109</x:v>
      </x:c>
      <x:c r="E251" t="s">
        <x:v>305</x:v>
      </x:c>
      <x:c r="F251" t="s">
        <x:v>1514</x:v>
      </x:c>
      <x:c r="G251" t="s">
        <x:v>1115</x:v>
      </x:c>
      <x:c r="H251" t="s">
        <x:v>31</x:v>
      </x:c>
      <x:c r="I251" s="5" t="s">
        <x:v>1513</x:v>
      </x:c>
      <x:c r="J251" s="6" t="s">
        <x:v>1717</x:v>
      </x:c>
      <x:c r="K251" t="s">
        <x:v>40</x:v>
      </x:c>
      <x:c r="L251" t="s">
        <x:v>1457</x:v>
      </x:c>
      <x:c r="M251">
        <x:v>1</x:v>
      </x:c>
    </x:row>
    <x:row r="252">
      <x:c r="A252" t="s">
        <x:v>1376</x:v>
      </x:c>
      <x:c r="B252" t="s">
        <x:v>1378</x:v>
      </x:c>
      <x:c r="C252" t="s">
        <x:v>1270</x:v>
      </x:c>
      <x:c r="D252" t="s">
        <x:v>109</x:v>
      </x:c>
      <x:c r="E252" t="s">
        <x:v>1099</x:v>
      </x:c>
      <x:c r="F252" t="s">
        <x:v>1685</x:v>
      </x:c>
      <x:c r="G252" t="s">
        <x:v>1120</x:v>
      </x:c>
      <x:c r="H252" t="s">
        <x:v>31</x:v>
      </x:c>
      <x:c r="I252" s="5" t="s">
        <x:v>1680</x:v>
      </x:c>
      <x:c r="J252" s="6" t="s">
        <x:v>1717</x:v>
      </x:c>
      <x:c r="K252" t="s">
        <x:v>40</x:v>
      </x:c>
      <x:c r="L252" t="s">
        <x:v>1457</x:v>
      </x:c>
      <x:c r="M252">
        <x:v>1</x:v>
      </x:c>
    </x:row>
    <x:row r="253">
      <x:c r="A253" t="s">
        <x:v>1379</x:v>
      </x:c>
      <x:c r="B253" t="s">
        <x:v>1381</x:v>
      </x:c>
      <x:c r="C253" t="s">
        <x:v>1270</x:v>
      </x:c>
      <x:c r="D253" t="s">
        <x:v>109</x:v>
      </x:c>
      <x:c r="E253" t="s">
        <x:v>69</x:v>
      </x:c>
      <x:c r="F253" t="s">
        <x:v>1688</x:v>
      </x:c>
      <x:c r="G253" t="s">
        <x:v>1382</x:v>
      </x:c>
      <x:c r="H253" t="s">
        <x:v>31</x:v>
      </x:c>
      <x:c r="I253" s="5" t="s">
        <x:v>1463</x:v>
      </x:c>
      <x:c r="J253" s="6" t="s">
        <x:v>1717</x:v>
      </x:c>
      <x:c r="K253" t="s">
        <x:v>40</x:v>
      </x:c>
      <x:c r="L253" t="s">
        <x:v>1457</x:v>
      </x:c>
      <x:c r="M253">
        <x:v>1</x:v>
      </x:c>
    </x:row>
    <x:row r="254">
      <x:c r="A254" t="s">
        <x:v>1383</x:v>
      </x:c>
      <x:c r="B254" t="s">
        <x:v>1385</x:v>
      </x:c>
      <x:c r="C254" t="s">
        <x:v>1270</x:v>
      </x:c>
      <x:c r="D254" t="s">
        <x:v>109</x:v>
      </x:c>
      <x:c r="E254" t="s">
        <x:v>176</x:v>
      </x:c>
      <x:c r="F254" t="s">
        <x:v>1485</x:v>
      </x:c>
      <x:c r="G254" t="s">
        <x:v>177</x:v>
      </x:c>
      <x:c r="H254" t="s">
        <x:v>31</x:v>
      </x:c>
      <x:c r="I254" s="5" t="s">
        <x:v>1486</x:v>
      </x:c>
      <x:c r="J254" t="s">
        <x:v>1386</x:v>
      </x:c>
      <x:c r="K254" t="s">
        <x:v>40</x:v>
      </x:c>
      <x:c r="L254" t="s">
        <x:v>1457</x:v>
      </x:c>
      <x:c r="M254">
        <x:v>1</x:v>
      </x:c>
    </x:row>
    <x:row r="255">
      <x:c r="A255" t="s">
        <x:v>1387</x:v>
      </x:c>
      <x:c r="B255" t="s">
        <x:v>1389</x:v>
      </x:c>
      <x:c r="C255" t="s">
        <x:v>1270</x:v>
      </x:c>
      <x:c r="D255" t="s">
        <x:v>109</x:v>
      </x:c>
      <x:c r="E255" t="s">
        <x:v>522</x:v>
      </x:c>
      <x:c r="F255" t="s">
        <x:v>1698</x:v>
      </x:c>
      <x:c r="G255" t="s">
        <x:v>1390</x:v>
      </x:c>
      <x:c r="H255" t="s">
        <x:v>31</x:v>
      </x:c>
      <x:c r="I255" s="5" t="s">
        <x:v>1562</x:v>
      </x:c>
      <x:c r="J255" s="6" t="s">
        <x:v>1717</x:v>
      </x:c>
      <x:c r="K255" t="s">
        <x:v>40</x:v>
      </x:c>
      <x:c r="L255" t="s">
        <x:v>1457</x:v>
      </x:c>
      <x:c r="M255">
        <x:v>1</x:v>
      </x:c>
    </x:row>
    <x:row r="256">
      <x:c r="A256" t="s">
        <x:v>1391</x:v>
      </x:c>
      <x:c r="B256" t="s">
        <x:v>1393</x:v>
      </x:c>
      <x:c r="C256" t="s">
        <x:v>1270</x:v>
      </x:c>
      <x:c r="D256" t="s">
        <x:v>109</x:v>
      </x:c>
      <x:c r="E256" t="s">
        <x:v>184</x:v>
      </x:c>
      <x:c r="F256" t="s">
        <x:v>1585</x:v>
      </x:c>
      <x:c r="G256" t="s">
        <x:v>185</x:v>
      </x:c>
      <x:c r="H256" t="s">
        <x:v>31</x:v>
      </x:c>
      <x:c r="I256" s="5" t="s">
        <x:v>1488</x:v>
      </x:c>
      <x:c r="J256" t="s">
        <x:v>186</x:v>
      </x:c>
      <x:c r="K256" t="s">
        <x:v>40</x:v>
      </x:c>
      <x:c r="L256" t="s">
        <x:v>1457</x:v>
      </x:c>
      <x:c r="M256">
        <x:v>1</x:v>
      </x:c>
    </x:row>
    <x:row r="257">
      <x:c r="A257" t="s">
        <x:v>1394</x:v>
      </x:c>
      <x:c r="B257" t="s">
        <x:v>1396</x:v>
      </x:c>
      <x:c r="C257" t="s">
        <x:v>1270</x:v>
      </x:c>
      <x:c r="D257" t="s">
        <x:v>109</x:v>
      </x:c>
      <x:c r="E257" t="s">
        <x:v>369</x:v>
      </x:c>
      <x:c r="F257" t="s">
        <x:v>1525</x:v>
      </x:c>
      <x:c r="G257" t="s">
        <x:v>1200</x:v>
      </x:c>
      <x:c r="H257" t="s">
        <x:v>31</x:v>
      </x:c>
      <x:c r="I257" s="5" t="s">
        <x:v>1526</x:v>
      </x:c>
      <x:c r="J257" s="6" t="s">
        <x:v>1717</x:v>
      </x:c>
      <x:c r="K257" t="s">
        <x:v>40</x:v>
      </x:c>
      <x:c r="L257" t="s">
        <x:v>1457</x:v>
      </x:c>
      <x:c r="M257">
        <x:v>1</x:v>
      </x:c>
    </x:row>
    <x:row r="258">
      <x:c r="A258" t="s">
        <x:v>1397</x:v>
      </x:c>
      <x:c r="B258" t="s">
        <x:v>1399</x:v>
      </x:c>
      <x:c r="C258" t="s">
        <x:v>1270</x:v>
      </x:c>
      <x:c r="D258" t="s">
        <x:v>109</x:v>
      </x:c>
      <x:c r="E258" t="s">
        <x:v>332</x:v>
      </x:c>
      <x:c r="F258" t="s">
        <x:v>1693</x:v>
      </x:c>
      <x:c r="G258" t="s">
        <x:v>1161</x:v>
      </x:c>
      <x:c r="H258" t="s">
        <x:v>31</x:v>
      </x:c>
      <x:c r="I258" s="5" t="s">
        <x:v>1519</x:v>
      </x:c>
      <x:c r="J258" s="6" t="s">
        <x:v>1717</x:v>
      </x:c>
      <x:c r="K258" t="s">
        <x:v>40</x:v>
      </x:c>
      <x:c r="L258" t="s">
        <x:v>1457</x:v>
      </x:c>
      <x:c r="M258">
        <x:v>1</x:v>
      </x:c>
    </x:row>
    <x:row r="259">
      <x:c r="A259" t="s">
        <x:v>1400</x:v>
      </x:c>
      <x:c r="B259" t="s">
        <x:v>1402</x:v>
      </x:c>
      <x:c r="C259" t="s">
        <x:v>1270</x:v>
      </x:c>
      <x:c r="D259" t="s">
        <x:v>109</x:v>
      </x:c>
      <x:c r="E259" t="s">
        <x:v>104</x:v>
      </x:c>
      <x:c r="F259" t="s">
        <x:v>1523</x:v>
      </x:c>
      <x:c r="G259" t="s">
        <x:v>1175</x:v>
      </x:c>
      <x:c r="H259" t="s">
        <x:v>31</x:v>
      </x:c>
      <x:c r="I259" s="5" t="s">
        <x:v>1471</x:v>
      </x:c>
      <x:c r="J259" s="6" t="s">
        <x:v>1717</x:v>
      </x:c>
      <x:c r="K259" t="s">
        <x:v>40</x:v>
      </x:c>
      <x:c r="L259" t="s">
        <x:v>1457</x:v>
      </x:c>
      <x:c r="M259">
        <x:v>1</x:v>
      </x:c>
    </x:row>
    <x:row r="260">
      <x:c r="A260" t="s">
        <x:v>1403</x:v>
      </x:c>
      <x:c r="B260" t="s">
        <x:v>1405</x:v>
      </x:c>
      <x:c r="C260" t="s">
        <x:v>1270</x:v>
      </x:c>
      <x:c r="D260" t="s">
        <x:v>109</x:v>
      </x:c>
      <x:c r="E260" t="s">
        <x:v>285</x:v>
      </x:c>
      <x:c r="F260" t="s">
        <x:v>1579</x:v>
      </x:c>
      <x:c r="G260" t="s">
        <x:v>929</x:v>
      </x:c>
      <x:c r="H260" t="s">
        <x:v>31</x:v>
      </x:c>
      <x:c r="I260" s="5" t="s">
        <x:v>1509</x:v>
      </x:c>
      <x:c r="J260" s="6" t="s">
        <x:v>1717</x:v>
      </x:c>
      <x:c r="K260" t="s">
        <x:v>40</x:v>
      </x:c>
      <x:c r="L260" t="s">
        <x:v>1457</x:v>
      </x:c>
      <x:c r="M260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5" hidden="0" customWidth="1"/>
    <x:col min="4" max="4" width="20" hidden="0" customWidth="1"/>
    <x:col min="5" max="5" width="18" hidden="0" customWidth="1"/>
    <x:col min="6" max="6" width="34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3" max="13" width="24" hidden="0" customWidth="1"/>
    <x:col min="14" max="14" width="12" hidden="0" customWidth="1"/>
  </x:cols>
  <x:sheetData>
    <x:row r="1" ht="28" customHeight="1">
      <x:c r="A1" s="103" t="str">
        <x:v>DỮ LIỆU BẢN ĐỒ MẠNG ĐIỂM PHỤC VỤ — BƯU ĐIỆN THÀNH PHỐ HUẾ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3"/>
      <x:c r="M1" s="193" t="str">
        <x:v>TỔNG HỢP</x:v>
      </x:c>
      <x:c r="N1" s="193" t="str">
        <x:v>Số điểm</x:v>
      </x:c>
    </x:row>
    <x:row r="2" ht="34" customHeight="1">
      <x:c r="A2" s="112" t="str">
        <x:v>Giữ lại 151 điểm; đã loại các điểm có trạng thái “Tạm dừng”. Mã điểm phục vụ lấy từ cột B; tọa độ lấy từ cột W.</x:v>
      </x:c>
      <x:c r="B2" s="112"/>
      <x:c r="C2" s="112"/>
      <x:c r="D2" s="112"/>
      <x:c r="E2" s="112"/>
      <x:c r="F2" s="112"/>
      <x:c r="G2" s="112"/>
      <x:c r="H2" s="112"/>
      <x:c r="I2" s="112"/>
      <x:c r="J2" s="112"/>
      <x:c r="K2" s="112"/>
      <x:c r="M2" s="196" t="str">
        <x:v>Giao dịch</x:v>
      </x:c>
      <x:c r="N2" s="197" t="n">
        <x:v>35</x:v>
      </x:c>
    </x:row>
    <x:row r="3">
      <x:c r="M3" s="198" t="str">
        <x:v>Bưu cục vận hành</x:v>
      </x:c>
      <x:c r="N3" s="199" t="n">
        <x:v>6</x:v>
      </x:c>
    </x:row>
    <x:row r="4" ht="30" customHeight="1">
      <x:c r="A4" s="129" t="str">
        <x:v>STT</x:v>
      </x:c>
      <x:c r="B4" s="130" t="str">
        <x:v>Mã điểm phục vụ</x:v>
      </x:c>
      <x:c r="C4" s="130" t="str">
        <x:v>Tên điểm phục vụ</x:v>
      </x:c>
      <x:c r="D4" s="130" t="str">
        <x:v>Loại điểm</x:v>
      </x:c>
      <x:c r="E4" s="130" t="str">
        <x:v>Ký hiệu trên bản đồ</x:v>
      </x:c>
      <x:c r="F4" s="130" t="str">
        <x:v>Địa chỉ chi tiết</x:v>
      </x:c>
      <x:c r="G4" s="130" t="str">
        <x:v>Phường/Xã</x:v>
      </x:c>
      <x:c r="H4" s="130" t="str">
        <x:v>Trạng thái</x:v>
      </x:c>
      <x:c r="I4" s="130" t="str">
        <x:v>Kinh độ</x:v>
      </x:c>
      <x:c r="J4" s="130" t="str">
        <x:v>Vĩ độ</x:v>
      </x:c>
      <x:c r="K4" s="131" t="str">
        <x:v>Đơn vị quản lý</x:v>
      </x:c>
      <x:c r="M4" s="198" t="str">
        <x:v>Văn hoá xã (VHX)</x:v>
      </x:c>
      <x:c r="N4" s="199" t="n">
        <x:v>102</x:v>
      </x:c>
    </x:row>
    <x:row r="5">
      <x:c r="A5" s="155" t="n">
        <x:v>1</x:v>
      </x:c>
      <x:c r="B5" s="156" t="str">
        <x:v>530000</x:v>
      </x:c>
      <x:c r="C5" s="156" t="str">
        <x:v>Huế</x:v>
      </x:c>
      <x:c r="D5" s="156" t="str">
        <x:v>Giao dịch</x:v>
      </x:c>
      <x:c r="E5" s="156" t="str">
        <x:v>Ngôi sao</x:v>
      </x:c>
      <x:c r="F5" s="180" t="str">
        <x:v>8 Đường Hoàng Hoa Thám</x:v>
      </x:c>
      <x:c r="G5" s="180" t="str">
        <x:v>Phường Thuận Hóa</x:v>
      </x:c>
      <x:c r="H5" s="156" t="str">
        <x:v>Hoạt động</x:v>
      </x:c>
      <x:c r="I5" s="186" t="n">
        <x:v>107.5904001</x:v>
      </x:c>
      <x:c r="J5" s="186" t="n">
        <x:v>16.46485889</x:v>
      </x:c>
      <x:c r="K5" s="157" t="str">
        <x:v>Bưu điện phường Thuận Hóa</x:v>
      </x:c>
      <x:c r="M5" s="198" t="str">
        <x:v>Văn phòng</x:v>
      </x:c>
      <x:c r="N5" s="199" t="n">
        <x:v>7</x:v>
      </x:c>
    </x:row>
    <x:row r="6">
      <x:c r="A6" s="158" t="n">
        <x:v>2</x:v>
      </x:c>
      <x:c r="B6" s="159" t="str">
        <x:v>534600</x:v>
      </x:c>
      <x:c r="C6" s="159" t="str">
        <x:v>Quảng Điền</x:v>
      </x:c>
      <x:c r="D6" s="159" t="str">
        <x:v>Giao dịch</x:v>
      </x:c>
      <x:c r="E6" s="159" t="str">
        <x:v>Ngôi sao</x:v>
      </x:c>
      <x:c r="F6" s="181" t="str">
        <x:v>45 Đường Nguyễn Kim Thành</x:v>
      </x:c>
      <x:c r="G6" s="181" t="str">
        <x:v>Xã Quảng Điền</x:v>
      </x:c>
      <x:c r="H6" s="159" t="str">
        <x:v>Hoạt động</x:v>
      </x:c>
      <x:c r="I6" s="187" t="n">
        <x:v>107.5115291</x:v>
      </x:c>
      <x:c r="J6" s="187" t="n">
        <x:v>16.57465411</x:v>
      </x:c>
      <x:c r="K6" s="160" t="str">
        <x:v>Bưu điện xã Quảng Điền</x:v>
      </x:c>
      <x:c r="M6" s="198" t="str">
        <x:v>Khai thác tỉnh</x:v>
      </x:c>
      <x:c r="N6" s="199" t="n">
        <x:v>1</x:v>
      </x:c>
    </x:row>
    <x:row r="7">
      <x:c r="A7" s="158" t="n">
        <x:v>3</x:v>
      </x:c>
      <x:c r="B7" s="159" t="str">
        <x:v>534900</x:v>
      </x:c>
      <x:c r="C7" s="159" t="str">
        <x:v>Phong Điền</x:v>
      </x:c>
      <x:c r="D7" s="159" t="str">
        <x:v>Giao dịch</x:v>
      </x:c>
      <x:c r="E7" s="159" t="str">
        <x:v>Ngôi sao</x:v>
      </x:c>
      <x:c r="F7" s="181" t="str">
        <x:v>Thôn Trạch Thượng 1</x:v>
      </x:c>
      <x:c r="G7" s="181" t="str">
        <x:v>Phường Phong Điền</x:v>
      </x:c>
      <x:c r="H7" s="159" t="str">
        <x:v>Hoạt động</x:v>
      </x:c>
      <x:c r="I7" s="187" t="n">
        <x:v>107.3644227</x:v>
      </x:c>
      <x:c r="J7" s="187" t="n">
        <x:v>16.58217964</x:v>
      </x:c>
      <x:c r="K7" s="160" t="str">
        <x:v>Bưu điện phường Phong Điền</x:v>
      </x:c>
      <x:c r="M7" s="212" t="str">
        <x:v>TỔNG CỘNG</x:v>
      </x:c>
      <x:c r="N7" s="213" t="n">
        <x:v>151</x:v>
      </x:c>
    </x:row>
    <x:row r="8">
      <x:c r="A8" s="158" t="n">
        <x:v>4</x:v>
      </x:c>
      <x:c r="B8" s="159" t="str">
        <x:v>535300</x:v>
      </x:c>
      <x:c r="C8" s="159" t="str">
        <x:v>Hương Trà</x:v>
      </x:c>
      <x:c r="D8" s="159" t="str">
        <x:v>Giao dịch</x:v>
      </x:c>
      <x:c r="E8" s="159" t="str">
        <x:v>Ngôi sao</x:v>
      </x:c>
      <x:c r="F8" s="181" t="str">
        <x:v>105 Đường Cách Mạng Tháng Tám</x:v>
      </x:c>
      <x:c r="G8" s="181" t="str">
        <x:v>Phường Hương Trà</x:v>
      </x:c>
      <x:c r="H8" s="159" t="str">
        <x:v>Hoạt động</x:v>
      </x:c>
      <x:c r="I8" s="187" t="n">
        <x:v>107.4761979</x:v>
      </x:c>
      <x:c r="J8" s="187" t="n">
        <x:v>16.52520796</x:v>
      </x:c>
      <x:c r="K8" s="160" t="str">
        <x:v>Bưu điện phường Hương Trà</x:v>
      </x:c>
    </x:row>
    <x:row r="9">
      <x:c r="A9" s="158" t="n">
        <x:v>5</x:v>
      </x:c>
      <x:c r="B9" s="159" t="str">
        <x:v>535700</x:v>
      </x:c>
      <x:c r="C9" s="159" t="str">
        <x:v>A Lưới</x:v>
      </x:c>
      <x:c r="D9" s="159" t="str">
        <x:v>Giao dịch</x:v>
      </x:c>
      <x:c r="E9" s="159" t="str">
        <x:v>Ngôi sao</x:v>
      </x:c>
      <x:c r="F9" s="181" t="str">
        <x:v>184 Đường Hồ Chí Minh</x:v>
      </x:c>
      <x:c r="G9" s="181" t="str">
        <x:v>Xã A Lưới 2</x:v>
      </x:c>
      <x:c r="H9" s="159" t="str">
        <x:v>Hoạt động</x:v>
      </x:c>
      <x:c r="I9" s="187" t="n">
        <x:v>107.2319162</x:v>
      </x:c>
      <x:c r="J9" s="187" t="n">
        <x:v>16.27355879</x:v>
      </x:c>
      <x:c r="K9" s="160" t="str">
        <x:v>Bưu điện xã A Lưới 2</x:v>
      </x:c>
    </x:row>
    <x:row r="10">
      <x:c r="A10" s="158" t="n">
        <x:v>6</x:v>
      </x:c>
      <x:c r="B10" s="159" t="str">
        <x:v>536100</x:v>
      </x:c>
      <x:c r="C10" s="159" t="str">
        <x:v>Hương Thủy</x:v>
      </x:c>
      <x:c r="D10" s="159" t="str">
        <x:v>Giao dịch</x:v>
      </x:c>
      <x:c r="E10" s="159" t="str">
        <x:v>Ngôi sao</x:v>
      </x:c>
      <x:c r="F10" s="181" t="str">
        <x:v>1028 Đường Nguyễn Tất Thành</x:v>
      </x:c>
      <x:c r="G10" s="181" t="str">
        <x:v>Phường Phú Bài</x:v>
      </x:c>
      <x:c r="H10" s="159" t="str">
        <x:v>Hoạt động</x:v>
      </x:c>
      <x:c r="I10" s="187" t="n">
        <x:v>107.6736411</x:v>
      </x:c>
      <x:c r="J10" s="187" t="n">
        <x:v>16.41174736</x:v>
      </x:c>
      <x:c r="K10" s="160" t="str">
        <x:v>Bưu điện phường Phú Bài</x:v>
      </x:c>
    </x:row>
    <x:row r="11">
      <x:c r="A11" s="158" t="n">
        <x:v>7</x:v>
      </x:c>
      <x:c r="B11" s="159" t="str">
        <x:v>536400</x:v>
      </x:c>
      <x:c r="C11" s="159" t="str">
        <x:v>Nam Đông</x:v>
      </x:c>
      <x:c r="D11" s="159" t="str">
        <x:v>Giao dịch</x:v>
      </x:c>
      <x:c r="E11" s="159" t="str">
        <x:v>Ngôi sao</x:v>
      </x:c>
      <x:c r="F11" s="181" t="str">
        <x:v>Khu Vực Ii</x:v>
      </x:c>
      <x:c r="G11" s="181" t="str">
        <x:v>Xã Khe Tre</x:v>
      </x:c>
      <x:c r="H11" s="159" t="str">
        <x:v>Hoạt động</x:v>
      </x:c>
      <x:c r="I11" s="187" t="n">
        <x:v>107.7186032</x:v>
      </x:c>
      <x:c r="J11" s="187" t="n">
        <x:v>16.16766284</x:v>
      </x:c>
      <x:c r="K11" s="160" t="str">
        <x:v>Bưu điện xã Khe Tre</x:v>
      </x:c>
    </x:row>
    <x:row r="12">
      <x:c r="A12" s="158" t="n">
        <x:v>8</x:v>
      </x:c>
      <x:c r="B12" s="159" t="str">
        <x:v>536700</x:v>
      </x:c>
      <x:c r="C12" s="159" t="str">
        <x:v>Phú Vang</x:v>
      </x:c>
      <x:c r="D12" s="159" t="str">
        <x:v>Giao dịch</x:v>
      </x:c>
      <x:c r="E12" s="159" t="str">
        <x:v>Ngôi sao</x:v>
      </x:c>
      <x:c r="F12" s="181" t="str">
        <x:v>Thôn Hòa Tây</x:v>
      </x:c>
      <x:c r="G12" s="181" t="str">
        <x:v>Xã Phú Vang</x:v>
      </x:c>
      <x:c r="H12" s="159" t="str">
        <x:v>Hoạt động</x:v>
      </x:c>
      <x:c r="I12" s="187" t="n">
        <x:v>107.7145004</x:v>
      </x:c>
      <x:c r="J12" s="187" t="n">
        <x:v>16.44638613</x:v>
      </x:c>
      <x:c r="K12" s="160" t="str">
        <x:v>Bưu điện xã Phú Vang</x:v>
      </x:c>
    </x:row>
    <x:row r="13">
      <x:c r="A13" s="158" t="n">
        <x:v>9</x:v>
      </x:c>
      <x:c r="B13" s="159" t="str">
        <x:v>537100</x:v>
      </x:c>
      <x:c r="C13" s="159" t="str">
        <x:v>Phú Lộc</x:v>
      </x:c>
      <x:c r="D13" s="159" t="str">
        <x:v>Giao dịch</x:v>
      </x:c>
      <x:c r="E13" s="159" t="str">
        <x:v>Ngôi sao</x:v>
      </x:c>
      <x:c r="F13" s="181" t="str">
        <x:v>118 Đường Lý Thánh Tông</x:v>
      </x:c>
      <x:c r="G13" s="181" t="str">
        <x:v>Xã Phú Lộc</x:v>
      </x:c>
      <x:c r="H13" s="159" t="str">
        <x:v>Hoạt động</x:v>
      </x:c>
      <x:c r="I13" s="187" t="n">
        <x:v>107.859998259455</x:v>
      </x:c>
      <x:c r="J13" s="187" t="n">
        <x:v>16.2803534504623</x:v>
      </x:c>
      <x:c r="K13" s="160" t="str">
        <x:v>Bưu điện xã Phú Lộc</x:v>
      </x:c>
    </x:row>
    <x:row r="14">
      <x:c r="A14" s="158" t="n">
        <x:v>10</x:v>
      </x:c>
      <x:c r="B14" s="159" t="str">
        <x:v>531110</x:v>
      </x:c>
      <x:c r="C14" s="159" t="str">
        <x:v>Trung tâm Hành chính công</x:v>
      </x:c>
      <x:c r="D14" s="159" t="str">
        <x:v>Giao dịch</x:v>
      </x:c>
      <x:c r="E14" s="159" t="str">
        <x:v>Ngôi sao</x:v>
      </x:c>
      <x:c r="F14" s="181" t="str">
        <x:v>1 Đường Lê Lai</x:v>
      </x:c>
      <x:c r="G14" s="181" t="str">
        <x:v>Phường Thuận Hóa</x:v>
      </x:c>
      <x:c r="H14" s="159" t="str">
        <x:v>Hoạt động</x:v>
      </x:c>
      <x:c r="I14" s="187" t="n">
        <x:v>107.584734388574</x:v>
      </x:c>
      <x:c r="J14" s="187" t="n">
        <x:v>16.4618749932253</x:v>
      </x:c>
      <x:c r="K14" s="160" t="str">
        <x:v>Bưu điện phường Thuận Hóa</x:v>
      </x:c>
    </x:row>
    <x:row r="15">
      <x:c r="A15" s="158" t="n">
        <x:v>11</x:v>
      </x:c>
      <x:c r="B15" s="159" t="str">
        <x:v>531120</x:v>
      </x:c>
      <x:c r="C15" s="159" t="str">
        <x:v>Khách hàng lớn</x:v>
      </x:c>
      <x:c r="D15" s="159" t="str">
        <x:v>Giao dịch</x:v>
      </x:c>
      <x:c r="E15" s="159" t="str">
        <x:v>Ngôi sao</x:v>
      </x:c>
      <x:c r="F15" s="181" t="str">
        <x:v>08 Đường Hoàng Hoa Thám</x:v>
      </x:c>
      <x:c r="G15" s="181" t="str">
        <x:v>Phường Thuận Hóa</x:v>
      </x:c>
      <x:c r="H15" s="159" t="str">
        <x:v>Hoạt động</x:v>
      </x:c>
      <x:c r="I15" s="187" t="n">
        <x:v>107.590361744488</x:v>
      </x:c>
      <x:c r="J15" s="187" t="n">
        <x:v>16.4648889303289</x:v>
      </x:c>
      <x:c r="K15" s="160" t="str">
        <x:v>BCVH Thuận Hóa</x:v>
      </x:c>
    </x:row>
    <x:row r="16">
      <x:c r="A16" s="158" t="n">
        <x:v>12</x:v>
      </x:c>
      <x:c r="B16" s="159" t="str">
        <x:v>531600</x:v>
      </x:c>
      <x:c r="C16" s="159" t="str">
        <x:v>Trần Hưng Đạo</x:v>
      </x:c>
      <x:c r="D16" s="159" t="str">
        <x:v>Giao dịch</x:v>
      </x:c>
      <x:c r="E16" s="159" t="str">
        <x:v>Ngôi sao</x:v>
      </x:c>
      <x:c r="F16" s="181" t="str">
        <x:v>91 Đường Trần Hưng Đạo</x:v>
      </x:c>
      <x:c r="G16" s="181" t="str">
        <x:v>Phường Phú Xuân</x:v>
      </x:c>
      <x:c r="H16" s="159" t="str">
        <x:v>Hoạt động</x:v>
      </x:c>
      <x:c r="I16" s="187" t="n">
        <x:v>107.5861694</x:v>
      </x:c>
      <x:c r="J16" s="187" t="n">
        <x:v>16.46970258</x:v>
      </x:c>
      <x:c r="K16" s="160" t="str">
        <x:v>Bưu điện phường Phú Xuân</x:v>
      </x:c>
    </x:row>
    <x:row r="17">
      <x:c r="A17" s="158" t="n">
        <x:v>13</x:v>
      </x:c>
      <x:c r="B17" s="159" t="str">
        <x:v>531950</x:v>
      </x:c>
      <x:c r="C17" s="159" t="str">
        <x:v>Huế Thành</x:v>
      </x:c>
      <x:c r="D17" s="159" t="str">
        <x:v>Giao dịch</x:v>
      </x:c>
      <x:c r="E17" s="159" t="str">
        <x:v>Ngôi sao</x:v>
      </x:c>
      <x:c r="F17" s="181" t="str">
        <x:v>25 Đường Mai Thúc Loan</x:v>
      </x:c>
      <x:c r="G17" s="181" t="str">
        <x:v>Phường Phú Xuân</x:v>
      </x:c>
      <x:c r="H17" s="159" t="str">
        <x:v>Hoạt động</x:v>
      </x:c>
      <x:c r="I17" s="187" t="n">
        <x:v>107.5835337</x:v>
      </x:c>
      <x:c r="J17" s="187" t="n">
        <x:v>16.47727333</x:v>
      </x:c>
      <x:c r="K17" s="160" t="str">
        <x:v>Bưu điện phường Phú Xuân</x:v>
      </x:c>
    </x:row>
    <x:row r="18">
      <x:c r="A18" s="158" t="n">
        <x:v>14</x:v>
      </x:c>
      <x:c r="B18" s="159" t="str">
        <x:v>532350</x:v>
      </x:c>
      <x:c r="C18" s="159" t="str">
        <x:v>Tây Lộc</x:v>
      </x:c>
      <x:c r="D18" s="159" t="str">
        <x:v>Giao dịch</x:v>
      </x:c>
      <x:c r="E18" s="159" t="str">
        <x:v>Ngôi sao</x:v>
      </x:c>
      <x:c r="F18" s="181" t="str">
        <x:v>136 Đường Hoàng Diệu</x:v>
      </x:c>
      <x:c r="G18" s="181" t="str">
        <x:v>Phường Phú Xuân</x:v>
      </x:c>
      <x:c r="H18" s="159" t="str">
        <x:v>Hoạt động</x:v>
      </x:c>
      <x:c r="I18" s="187" t="n">
        <x:v>107.5683175</x:v>
      </x:c>
      <x:c r="J18" s="187" t="n">
        <x:v>16.472913</x:v>
      </x:c>
      <x:c r="K18" s="160" t="str">
        <x:v>Bưu điện phường Phú Xuân</x:v>
      </x:c>
    </x:row>
    <x:row r="19">
      <x:c r="A19" s="158" t="n">
        <x:v>15</x:v>
      </x:c>
      <x:c r="B19" s="159" t="str">
        <x:v>532760</x:v>
      </x:c>
      <x:c r="C19" s="159" t="str">
        <x:v>Kim Long</x:v>
      </x:c>
      <x:c r="D19" s="159" t="str">
        <x:v>Giao dịch</x:v>
      </x:c>
      <x:c r="E19" s="159" t="str">
        <x:v>Ngôi sao</x:v>
      </x:c>
      <x:c r="F19" s="181" t="str">
        <x:v>118 Đường Kim Long</x:v>
      </x:c>
      <x:c r="G19" s="181" t="str">
        <x:v>Phường Kim Long</x:v>
      </x:c>
      <x:c r="H19" s="159" t="str">
        <x:v>Hoạt động</x:v>
      </x:c>
      <x:c r="I19" s="187" t="n">
        <x:v>107.5602726</x:v>
      </x:c>
      <x:c r="J19" s="187" t="n">
        <x:v>16.45802966</x:v>
      </x:c>
      <x:c r="K19" s="160" t="str">
        <x:v>Bưu điện phường Kim Long</x:v>
      </x:c>
    </x:row>
    <x:row r="20">
      <x:c r="A20" s="158" t="n">
        <x:v>16</x:v>
      </x:c>
      <x:c r="B20" s="159" t="str">
        <x:v>532950</x:v>
      </x:c>
      <x:c r="C20" s="159" t="str">
        <x:v>An Hoà</x:v>
      </x:c>
      <x:c r="D20" s="159" t="str">
        <x:v>Giao dịch</x:v>
      </x:c>
      <x:c r="E20" s="159" t="str">
        <x:v>Ngôi sao</x:v>
      </x:c>
      <x:c r="F20" s="181" t="str">
        <x:v>396 Đường Lê Duẩn</x:v>
      </x:c>
      <x:c r="G20" s="181" t="str">
        <x:v>Phường Hương An</x:v>
      </x:c>
      <x:c r="H20" s="159" t="str">
        <x:v>Hoạt động</x:v>
      </x:c>
      <x:c r="I20" s="187" t="n">
        <x:v>107.5558025</x:v>
      </x:c>
      <x:c r="J20" s="187" t="n">
        <x:v>16.48166481</x:v>
      </x:c>
      <x:c r="K20" s="160" t="str">
        <x:v>Bưu điện phường Hương An</x:v>
      </x:c>
    </x:row>
    <x:row r="21">
      <x:c r="A21" s="158" t="n">
        <x:v>17</x:v>
      </x:c>
      <x:c r="B21" s="159" t="str">
        <x:v>534640</x:v>
      </x:c>
      <x:c r="C21" s="159" t="str">
        <x:v>Quảng Công</x:v>
      </x:c>
      <x:c r="D21" s="159" t="str">
        <x:v>Giao dịch</x:v>
      </x:c>
      <x:c r="E21" s="159" t="str">
        <x:v>Ngôi sao</x:v>
      </x:c>
      <x:c r="F21" s="181" t="str">
        <x:v>Thôn 3</x:v>
      </x:c>
      <x:c r="G21" s="181" t="str">
        <x:v>Phường Phong Quảng</x:v>
      </x:c>
      <x:c r="H21" s="159" t="str">
        <x:v>Hoạt động</x:v>
      </x:c>
      <x:c r="I21" s="187" t="n">
        <x:v>107.5494669</x:v>
      </x:c>
      <x:c r="J21" s="187" t="n">
        <x:v>16.60910028</x:v>
      </x:c>
      <x:c r="K21" s="160" t="str">
        <x:v>Bưu điện phường Phong Quảng</x:v>
      </x:c>
    </x:row>
    <x:row r="22">
      <x:c r="A22" s="158" t="n">
        <x:v>18</x:v>
      </x:c>
      <x:c r="B22" s="159" t="str">
        <x:v>534960</x:v>
      </x:c>
      <x:c r="C22" s="159" t="str">
        <x:v>Điền Hòa</x:v>
      </x:c>
      <x:c r="D22" s="159" t="str">
        <x:v>Giao dịch</x:v>
      </x:c>
      <x:c r="E22" s="159" t="str">
        <x:v>Ngôi sao</x:v>
      </x:c>
      <x:c r="F22" s="181" t="str">
        <x:v>Thôn 5</x:v>
      </x:c>
      <x:c r="G22" s="181" t="str">
        <x:v>Phường Phong Phú</x:v>
      </x:c>
      <x:c r="H22" s="159" t="str">
        <x:v>Hoạt động</x:v>
      </x:c>
      <x:c r="I22" s="187" t="n">
        <x:v>107.4478192</x:v>
      </x:c>
      <x:c r="J22" s="187" t="n">
        <x:v>16.66588393</x:v>
      </x:c>
      <x:c r="K22" s="160" t="str">
        <x:v>Bưu điện phường Phong Phú</x:v>
      </x:c>
    </x:row>
    <x:row r="23">
      <x:c r="A23" s="158" t="n">
        <x:v>19</x:v>
      </x:c>
      <x:c r="B23" s="159" t="str">
        <x:v>535120</x:v>
      </x:c>
      <x:c r="C23" s="159" t="str">
        <x:v>Phong Xuân</x:v>
      </x:c>
      <x:c r="D23" s="159" t="str">
        <x:v>Giao dịch</x:v>
      </x:c>
      <x:c r="E23" s="159" t="str">
        <x:v>Ngôi sao</x:v>
      </x:c>
      <x:c r="F23" s="181" t="str">
        <x:v>Thôn Bình An</x:v>
      </x:c>
      <x:c r="G23" s="181" t="str">
        <x:v>Phường Phong Điền</x:v>
      </x:c>
      <x:c r="H23" s="159" t="str">
        <x:v>Hoạt động</x:v>
      </x:c>
      <x:c r="I23" s="187" t="n">
        <x:v>107.362093</x:v>
      </x:c>
      <x:c r="J23" s="187" t="n">
        <x:v>16.5070219</x:v>
      </x:c>
      <x:c r="K23" s="160" t="str">
        <x:v>Bưu điện phường Phong Điền</x:v>
      </x:c>
    </x:row>
    <x:row r="24">
      <x:c r="A24" s="158" t="n">
        <x:v>20</x:v>
      </x:c>
      <x:c r="B24" s="159" t="str">
        <x:v>535140</x:v>
      </x:c>
      <x:c r="C24" s="159" t="str">
        <x:v>An Lỗ</x:v>
      </x:c>
      <x:c r="D24" s="159" t="str">
        <x:v>Giao dịch</x:v>
      </x:c>
      <x:c r="E24" s="159" t="str">
        <x:v>Ngôi sao</x:v>
      </x:c>
      <x:c r="F24" s="181" t="str">
        <x:v>Thôn Bồ Điền</x:v>
      </x:c>
      <x:c r="G24" s="181" t="str">
        <x:v>Phường Phong Thái</x:v>
      </x:c>
      <x:c r="H24" s="159" t="str">
        <x:v>Hoạt động</x:v>
      </x:c>
      <x:c r="I24" s="187" t="n">
        <x:v>107.4526107</x:v>
      </x:c>
      <x:c r="J24" s="187" t="n">
        <x:v>16.5468176</x:v>
      </x:c>
      <x:c r="K24" s="160" t="str">
        <x:v>Bưu điện phường Phong Thái</x:v>
      </x:c>
    </x:row>
    <x:row r="25">
      <x:c r="A25" s="158" t="n">
        <x:v>21</x:v>
      </x:c>
      <x:c r="B25" s="159" t="str">
        <x:v>535390</x:v>
      </x:c>
      <x:c r="C25" s="159" t="str">
        <x:v>Bình Điền</x:v>
      </x:c>
      <x:c r="D25" s="159" t="str">
        <x:v>Giao dịch</x:v>
      </x:c>
      <x:c r="E25" s="159" t="str">
        <x:v>Ngôi sao</x:v>
      </x:c>
      <x:c r="F25" s="181" t="str">
        <x:v>Thôn Bình Lợi</x:v>
      </x:c>
      <x:c r="G25" s="181" t="str">
        <x:v>Xã Bình Điền</x:v>
      </x:c>
      <x:c r="H25" s="159" t="str">
        <x:v>Hoạt động</x:v>
      </x:c>
      <x:c r="I25" s="187" t="n">
        <x:v>107.5048768</x:v>
      </x:c>
      <x:c r="J25" s="187" t="n">
        <x:v>16.35059752</x:v>
      </x:c>
      <x:c r="K25" s="160" t="str">
        <x:v>Bưu điện xã Bình Điền</x:v>
      </x:c>
    </x:row>
    <x:row r="26">
      <x:c r="A26" s="158" t="n">
        <x:v>22</x:v>
      </x:c>
      <x:c r="B26" s="159" t="str">
        <x:v>535910</x:v>
      </x:c>
      <x:c r="C26" s="159" t="str">
        <x:v>Bốt Đỏ</x:v>
      </x:c>
      <x:c r="D26" s="159" t="str">
        <x:v>Giao dịch</x:v>
      </x:c>
      <x:c r="E26" s="159" t="str">
        <x:v>Ngôi sao</x:v>
      </x:c>
      <x:c r="F26" s="181" t="str">
        <x:v>Thôn Quảng Hợp</x:v>
      </x:c>
      <x:c r="G26" s="181" t="str">
        <x:v>Xã A Lưới 3</x:v>
      </x:c>
      <x:c r="H26" s="159" t="str">
        <x:v>Hoạt động</x:v>
      </x:c>
      <x:c r="I26" s="187" t="n">
        <x:v>107.2702825</x:v>
      </x:c>
      <x:c r="J26" s="187" t="n">
        <x:v>16.23597288</x:v>
      </x:c>
      <x:c r="K26" s="160" t="str">
        <x:v>Bưu điện xã A Lưới 3</x:v>
      </x:c>
    </x:row>
    <x:row r="27">
      <x:c r="A27" s="158" t="n">
        <x:v>23</x:v>
      </x:c>
      <x:c r="B27" s="159" t="str">
        <x:v>536200</x:v>
      </x:c>
      <x:c r="C27" s="159" t="str">
        <x:v>Thủy Dương (TD)</x:v>
      </x:c>
      <x:c r="D27" s="159" t="str">
        <x:v>Giao dịch</x:v>
      </x:c>
      <x:c r="E27" s="159" t="str">
        <x:v>Ngôi sao</x:v>
      </x:c>
      <x:c r="F27" s="181" t="str">
        <x:v>Tổ 7</x:v>
      </x:c>
      <x:c r="G27" s="181" t="str">
        <x:v>Phường Thanh Thủy</x:v>
      </x:c>
      <x:c r="H27" s="159" t="str">
        <x:v>Hoạt động</x:v>
      </x:c>
      <x:c r="I27" s="187" t="n">
        <x:v>107.6208807</x:v>
      </x:c>
      <x:c r="J27" s="187" t="n">
        <x:v>16.44103784</x:v>
      </x:c>
      <x:c r="K27" s="160" t="str">
        <x:v>Bưu điện phường Thanh Thủy</x:v>
      </x:c>
    </x:row>
    <x:row r="28">
      <x:c r="A28" s="158" t="n">
        <x:v>24</x:v>
      </x:c>
      <x:c r="B28" s="159" t="str">
        <x:v>536730</x:v>
      </x:c>
      <x:c r="C28" s="159" t="str">
        <x:v>Phú Hải</x:v>
      </x:c>
      <x:c r="D28" s="159" t="str">
        <x:v>Giao dịch</x:v>
      </x:c>
      <x:c r="E28" s="159" t="str">
        <x:v>Ngôi sao</x:v>
      </x:c>
      <x:c r="F28" s="181" t="str">
        <x:v>Thôn Cự Lại Đông</x:v>
      </x:c>
      <x:c r="G28" s="181" t="str">
        <x:v>Phường Thuận An</x:v>
      </x:c>
      <x:c r="H28" s="159" t="str">
        <x:v>Hoạt động</x:v>
      </x:c>
      <x:c r="I28" s="187" t="n">
        <x:v>107.701626</x:v>
      </x:c>
      <x:c r="J28" s="187" t="n">
        <x:v>16.52431551</x:v>
      </x:c>
      <x:c r="K28" s="160" t="str">
        <x:v>Bưu điện phường Thuận An</x:v>
      </x:c>
    </x:row>
    <x:row r="29">
      <x:c r="A29" s="158" t="n">
        <x:v>25</x:v>
      </x:c>
      <x:c r="B29" s="159" t="str">
        <x:v>536750</x:v>
      </x:c>
      <x:c r="C29" s="159" t="str">
        <x:v>Cửa Thuận</x:v>
      </x:c>
      <x:c r="D29" s="159" t="str">
        <x:v>Giao dịch</x:v>
      </x:c>
      <x:c r="E29" s="159" t="str">
        <x:v>Ngôi sao</x:v>
      </x:c>
      <x:c r="F29" s="181" t="str">
        <x:v>57 Đường Kinh Dương Vương</x:v>
      </x:c>
      <x:c r="G29" s="181" t="str">
        <x:v>Phường Thuận An</x:v>
      </x:c>
      <x:c r="H29" s="159" t="str">
        <x:v>Hoạt động</x:v>
      </x:c>
      <x:c r="I29" s="187" t="n">
        <x:v>107.6395865</x:v>
      </x:c>
      <x:c r="J29" s="187" t="n">
        <x:v>16.54790068</x:v>
      </x:c>
      <x:c r="K29" s="160" t="str">
        <x:v>Bưu điện phường Thuận An</x:v>
      </x:c>
    </x:row>
    <x:row r="30">
      <x:c r="A30" s="158" t="n">
        <x:v>26</x:v>
      </x:c>
      <x:c r="B30" s="159" t="str">
        <x:v>536810</x:v>
      </x:c>
      <x:c r="C30" s="159" t="str">
        <x:v>Trung Đông</x:v>
      </x:c>
      <x:c r="D30" s="159" t="str">
        <x:v>Giao dịch</x:v>
      </x:c>
      <x:c r="E30" s="159" t="str">
        <x:v>Ngôi sao</x:v>
      </x:c>
      <x:c r="F30" s="181" t="str">
        <x:v>Thôn Trung Đông</x:v>
      </x:c>
      <x:c r="G30" s="181" t="str">
        <x:v>Phường Mỹ Thượng</x:v>
      </x:c>
      <x:c r="H30" s="159" t="str">
        <x:v>Hoạt động</x:v>
      </x:c>
      <x:c r="I30" s="187" t="n">
        <x:v>107.599643</x:v>
      </x:c>
      <x:c r="J30" s="187" t="n">
        <x:v>16.5035321</x:v>
      </x:c>
      <x:c r="K30" s="160" t="str">
        <x:v>Bưu điện phường Mỹ Thượng</x:v>
      </x:c>
    </x:row>
    <x:row r="31">
      <x:c r="A31" s="158" t="n">
        <x:v>27</x:v>
      </x:c>
      <x:c r="B31" s="159" t="str">
        <x:v>536890</x:v>
      </x:c>
      <x:c r="C31" s="159" t="str">
        <x:v>Vinh Thái</x:v>
      </x:c>
      <x:c r="D31" s="159" t="str">
        <x:v>Giao dịch</x:v>
      </x:c>
      <x:c r="E31" s="159" t="str">
        <x:v>Ngôi sao</x:v>
      </x:c>
      <x:c r="F31" s="181" t="str">
        <x:v>Thôn Thanh Lam Bồ</x:v>
      </x:c>
      <x:c r="G31" s="181" t="str">
        <x:v>Xã Phú Vang</x:v>
      </x:c>
      <x:c r="H31" s="159" t="str">
        <x:v>Hoạt động</x:v>
      </x:c>
      <x:c r="I31" s="187" t="n">
        <x:v>107.768203283639</x:v>
      </x:c>
      <x:c r="J31" s="187" t="n">
        <x:v>16.3924073902549</x:v>
      </x:c>
      <x:c r="K31" s="160" t="str">
        <x:v>Bưu điện xã Phú Vang</x:v>
      </x:c>
    </x:row>
    <x:row r="32">
      <x:c r="A32" s="158" t="n">
        <x:v>28</x:v>
      </x:c>
      <x:c r="B32" s="159" t="str">
        <x:v>536960</x:v>
      </x:c>
      <x:c r="C32" s="159" t="str">
        <x:v>Phú Diên</x:v>
      </x:c>
      <x:c r="D32" s="159" t="str">
        <x:v>Giao dịch</x:v>
      </x:c>
      <x:c r="E32" s="159" t="str">
        <x:v>Ngôi sao</x:v>
      </x:c>
      <x:c r="F32" s="181" t="str">
        <x:v>Thôn Thanh Dương</x:v>
      </x:c>
      <x:c r="G32" s="181" t="str">
        <x:v>Xã Phú Vinh</x:v>
      </x:c>
      <x:c r="H32" s="159" t="str">
        <x:v>Hoạt động</x:v>
      </x:c>
      <x:c r="I32" s="187" t="n">
        <x:v>107.749618604685</x:v>
      </x:c>
      <x:c r="J32" s="187" t="n">
        <x:v>16.4875930900034</x:v>
      </x:c>
      <x:c r="K32" s="160" t="str">
        <x:v>Bưu điện xã Phú Vinh</x:v>
      </x:c>
    </x:row>
    <x:row r="33">
      <x:c r="A33" s="158" t="n">
        <x:v>29</x:v>
      </x:c>
      <x:c r="B33" s="159" t="str">
        <x:v>537000</x:v>
      </x:c>
      <x:c r="C33" s="159" t="str">
        <x:v>Vinh An</x:v>
      </x:c>
      <x:c r="D33" s="159" t="str">
        <x:v>Giao dịch</x:v>
      </x:c>
      <x:c r="E33" s="159" t="str">
        <x:v>Ngôi sao</x:v>
      </x:c>
      <x:c r="F33" s="181" t="str">
        <x:v>Thôn An Mỹ</x:v>
      </x:c>
      <x:c r="G33" s="181" t="str">
        <x:v>Xã Phú Vinh</x:v>
      </x:c>
      <x:c r="H33" s="159" t="str">
        <x:v>Hoạt động</x:v>
      </x:c>
      <x:c r="I33" s="187" t="n">
        <x:v>107.8085477</x:v>
      </x:c>
      <x:c r="J33" s="187" t="n">
        <x:v>16.410846</x:v>
      </x:c>
      <x:c r="K33" s="160" t="str">
        <x:v>Bưu điện xã Phú Vinh</x:v>
      </x:c>
    </x:row>
    <x:row r="34">
      <x:c r="A34" s="158" t="n">
        <x:v>30</x:v>
      </x:c>
      <x:c r="B34" s="159" t="str">
        <x:v>537130</x:v>
      </x:c>
      <x:c r="C34" s="159" t="str">
        <x:v>Lộc Vĩnh</x:v>
      </x:c>
      <x:c r="D34" s="159" t="str">
        <x:v>Giao dịch</x:v>
      </x:c>
      <x:c r="E34" s="159" t="str">
        <x:v>Ngôi sao</x:v>
      </x:c>
      <x:c r="F34" s="181" t="str">
        <x:v>Thôn Bình An 1</x:v>
      </x:c>
      <x:c r="G34" s="181" t="str">
        <x:v>Xã Chân Mây – Lăng Cô</x:v>
      </x:c>
      <x:c r="H34" s="159" t="str">
        <x:v>Hoạt động</x:v>
      </x:c>
      <x:c r="I34" s="187" t="n">
        <x:v>108.004765</x:v>
      </x:c>
      <x:c r="J34" s="187" t="n">
        <x:v>16.30758249</x:v>
      </x:c>
      <x:c r="K34" s="160" t="str">
        <x:v>Bưu điện xã Chân Mây - Lăng Cô</x:v>
      </x:c>
    </x:row>
    <x:row r="35">
      <x:c r="A35" s="158" t="n">
        <x:v>31</x:v>
      </x:c>
      <x:c r="B35" s="159" t="str">
        <x:v>537150</x:v>
      </x:c>
      <x:c r="C35" s="159" t="str">
        <x:v>Cửa Tư Hiền</x:v>
      </x:c>
      <x:c r="D35" s="159" t="str">
        <x:v>Giao dịch</x:v>
      </x:c>
      <x:c r="E35" s="159" t="str">
        <x:v>Ngôi sao</x:v>
      </x:c>
      <x:c r="F35" s="181" t="str">
        <x:v>Thôn Hiền Vân 1</x:v>
      </x:c>
      <x:c r="G35" s="181" t="str">
        <x:v>Xã Vinh Lộc</x:v>
      </x:c>
      <x:c r="H35" s="159" t="str">
        <x:v>Hoạt động</x:v>
      </x:c>
      <x:c r="I35" s="187" t="n">
        <x:v>107.8908936</x:v>
      </x:c>
      <x:c r="J35" s="187" t="n">
        <x:v>16.3478062</x:v>
      </x:c>
      <x:c r="K35" s="160" t="str">
        <x:v>Bưu điện xã Vinh Lộc</x:v>
      </x:c>
    </x:row>
    <x:row r="36">
      <x:c r="A36" s="158" t="n">
        <x:v>32</x:v>
      </x:c>
      <x:c r="B36" s="159" t="str">
        <x:v>537180</x:v>
      </x:c>
      <x:c r="C36" s="159" t="str">
        <x:v>Phụng Chánh</x:v>
      </x:c>
      <x:c r="D36" s="159" t="str">
        <x:v>Giao dịch</x:v>
      </x:c>
      <x:c r="E36" s="159" t="str">
        <x:v>Ngôi sao</x:v>
      </x:c>
      <x:c r="F36" s="181" t="str">
        <x:v>Thôn Phụng Chánh</x:v>
      </x:c>
      <x:c r="G36" s="181" t="str">
        <x:v>Xã Vinh Lộc</x:v>
      </x:c>
      <x:c r="H36" s="159" t="str">
        <x:v>Hoạt động</x:v>
      </x:c>
      <x:c r="I36" s="187" t="n">
        <x:v>107.8416467</x:v>
      </x:c>
      <x:c r="J36" s="187" t="n">
        <x:v>16.37408456</x:v>
      </x:c>
      <x:c r="K36" s="160" t="str">
        <x:v>Bưu điện xã Vinh Lộc</x:v>
      </x:c>
    </x:row>
    <x:row r="37">
      <x:c r="A37" s="158" t="n">
        <x:v>33</x:v>
      </x:c>
      <x:c r="B37" s="159" t="str">
        <x:v>537230</x:v>
      </x:c>
      <x:c r="C37" s="159" t="str">
        <x:v>La Sơn</x:v>
      </x:c>
      <x:c r="D37" s="159" t="str">
        <x:v>Giao dịch</x:v>
      </x:c>
      <x:c r="E37" s="159" t="str">
        <x:v>Ngôi sao</x:v>
      </x:c>
      <x:c r="F37" s="181" t="str">
        <x:v>Thôn Vinh Sơn</x:v>
      </x:c>
      <x:c r="G37" s="181" t="str">
        <x:v>Xã Hưng Lộc</x:v>
      </x:c>
      <x:c r="H37" s="159" t="str">
        <x:v>Hoạt động</x:v>
      </x:c>
      <x:c r="I37" s="187" t="n">
        <x:v>107.746396</x:v>
      </x:c>
      <x:c r="J37" s="187" t="n">
        <x:v>16.33512767</x:v>
      </x:c>
      <x:c r="K37" s="160" t="str">
        <x:v>Bưu điện xã Hưng Lộc</x:v>
      </x:c>
    </x:row>
    <x:row r="38">
      <x:c r="A38" s="158" t="n">
        <x:v>34</x:v>
      </x:c>
      <x:c r="B38" s="159" t="str">
        <x:v>537340</x:v>
      </x:c>
      <x:c r="C38" s="159" t="str">
        <x:v>Thừa Lưu</x:v>
      </x:c>
      <x:c r="D38" s="159" t="str">
        <x:v>Giao dịch</x:v>
      </x:c>
      <x:c r="E38" s="159" t="str">
        <x:v>Ngôi sao</x:v>
      </x:c>
      <x:c r="F38" s="181" t="str">
        <x:v>Thôn Trung Kiền</x:v>
      </x:c>
      <x:c r="G38" s="181" t="str">
        <x:v>Xã Chân Mây – Lăng Cô</x:v>
      </x:c>
      <x:c r="H38" s="159" t="str">
        <x:v>Hoạt động</x:v>
      </x:c>
      <x:c r="I38" s="187" t="n">
        <x:v>107.9909899</x:v>
      </x:c>
      <x:c r="J38" s="187" t="n">
        <x:v>16.27156693</x:v>
      </x:c>
      <x:c r="K38" s="160" t="str">
        <x:v>Bưu điện xã Chân Mây - Lăng Cô</x:v>
      </x:c>
    </x:row>
    <x:row r="39">
      <x:c r="A39" s="158" t="n">
        <x:v>35</x:v>
      </x:c>
      <x:c r="B39" s="159" t="str">
        <x:v>537360</x:v>
      </x:c>
      <x:c r="C39" s="159" t="str">
        <x:v>Lăng Cô</x:v>
      </x:c>
      <x:c r="D39" s="159" t="str">
        <x:v>Giao dịch</x:v>
      </x:c>
      <x:c r="E39" s="159" t="str">
        <x:v>Ngôi sao</x:v>
      </x:c>
      <x:c r="F39" s="181" t="str">
        <x:v>Đường Lạc Long Quân</x:v>
      </x:c>
      <x:c r="G39" s="181" t="str">
        <x:v>Xã Chân Mây – Lăng Cô</x:v>
      </x:c>
      <x:c r="H39" s="159" t="str">
        <x:v>Hoạt động</x:v>
      </x:c>
      <x:c r="I39" s="187" t="n">
        <x:v>108.0817791</x:v>
      </x:c>
      <x:c r="J39" s="187" t="n">
        <x:v>16.23602194</x:v>
      </x:c>
      <x:c r="K39" s="160" t="str">
        <x:v>Bưu điện xã Chân Mây - Lăng Cô</x:v>
      </x:c>
    </x:row>
    <x:row r="40">
      <x:c r="A40" s="158" t="n">
        <x:v>36</x:v>
      </x:c>
      <x:c r="B40" s="159" t="str">
        <x:v>530100</x:v>
      </x:c>
      <x:c r="C40" s="159" t="str">
        <x:v>KTC1 Huế 1</x:v>
      </x:c>
      <x:c r="D40" s="159" t="str">
        <x:v>Khai thác tỉnh</x:v>
      </x:c>
      <x:c r="E40" s="159" t="str">
        <x:v>Xe tải</x:v>
      </x:c>
      <x:c r="F40" s="181" t="str">
        <x:v>1 Khu CN Phú Bài</x:v>
      </x:c>
      <x:c r="G40" s="181" t="str">
        <x:v>Phường Phú Bài</x:v>
      </x:c>
      <x:c r="H40" s="159" t="str">
        <x:v>Hoạt động</x:v>
      </x:c>
      <x:c r="I40" s="187" t="n">
        <x:v>107.688858973105</x:v>
      </x:c>
      <x:c r="J40" s="187" t="n">
        <x:v>16.3837080161244</x:v>
      </x:c>
      <x:c r="K40" s="160" t="str">
        <x:v>Trung tâm khai thác Huế</x:v>
      </x:c>
    </x:row>
    <x:row r="41">
      <x:c r="A41" s="158" t="n">
        <x:v>37</x:v>
      </x:c>
      <x:c r="B41" s="159" t="str">
        <x:v>533140</x:v>
      </x:c>
      <x:c r="C41" s="159" t="str">
        <x:v>BCVH Thuận Hóa</x:v>
      </x:c>
      <x:c r="D41" s="159" t="str">
        <x:v>Bưu cục vận hành</x:v>
      </x:c>
      <x:c r="E41" s="159" t="str">
        <x:v>Xe tải</x:v>
      </x:c>
      <x:c r="F41" s="181" t="str">
        <x:v>8 Đường Hoàng Hoa Thám</x:v>
      </x:c>
      <x:c r="G41" s="181" t="str">
        <x:v>Phường Thuận Hóa</x:v>
      </x:c>
      <x:c r="H41" s="159" t="str">
        <x:v>Hoạt động</x:v>
      </x:c>
      <x:c r="I41" s="187" t="n">
        <x:v>107.590369869917</x:v>
      </x:c>
      <x:c r="J41" s="187" t="n">
        <x:v>16.4648867039695</x:v>
      </x:c>
      <x:c r="K41" s="160" t="str">
        <x:v>BCVH Thuận Hóa</x:v>
      </x:c>
    </x:row>
    <x:row r="42">
      <x:c r="A42" s="158" t="n">
        <x:v>38</x:v>
      </x:c>
      <x:c r="B42" s="159" t="str">
        <x:v>535470</x:v>
      </x:c>
      <x:c r="C42" s="159" t="str">
        <x:v>BCVH Hương Trà</x:v>
      </x:c>
      <x:c r="D42" s="159" t="str">
        <x:v>Bưu cục vận hành</x:v>
      </x:c>
      <x:c r="E42" s="159" t="str">
        <x:v>Xe tải</x:v>
      </x:c>
      <x:c r="F42" s="181" t="str">
        <x:v>105 Đường Cách Mạng Tháng Tám</x:v>
      </x:c>
      <x:c r="G42" s="181" t="str">
        <x:v>Phường Hương Trà</x:v>
      </x:c>
      <x:c r="H42" s="159" t="str">
        <x:v>Hoạt động</x:v>
      </x:c>
      <x:c r="I42" s="187" t="n">
        <x:v>107.475963593275</x:v>
      </x:c>
      <x:c r="J42" s="187" t="n">
        <x:v>16.5249405471956</x:v>
      </x:c>
      <x:c r="K42" s="160" t="str">
        <x:v>BCVH Hương Trà</x:v>
      </x:c>
    </x:row>
    <x:row r="43">
      <x:c r="A43" s="158" t="n">
        <x:v>39</x:v>
      </x:c>
      <x:c r="B43" s="159" t="str">
        <x:v>535790</x:v>
      </x:c>
      <x:c r="C43" s="159" t="str">
        <x:v>BCVH A Lưới</x:v>
      </x:c>
      <x:c r="D43" s="159" t="str">
        <x:v>Bưu cục vận hành</x:v>
      </x:c>
      <x:c r="E43" s="159" t="str">
        <x:v>Xe tải</x:v>
      </x:c>
      <x:c r="F43" s="181" t="str">
        <x:v>184 Đường Hồ Chí Minh</x:v>
      </x:c>
      <x:c r="G43" s="181" t="str">
        <x:v>Xã A Lưới 2</x:v>
      </x:c>
      <x:c r="H43" s="159" t="str">
        <x:v>Hoạt động</x:v>
      </x:c>
      <x:c r="I43" s="187" t="n">
        <x:v>107.231889912162</x:v>
      </x:c>
      <x:c r="J43" s="187" t="n">
        <x:v>16.2736382189923</x:v>
      </x:c>
      <x:c r="K43" s="160" t="str">
        <x:v>BCVH A Lưới</x:v>
      </x:c>
    </x:row>
    <x:row r="44">
      <x:c r="A44" s="158" t="n">
        <x:v>40</x:v>
      </x:c>
      <x:c r="B44" s="159" t="str">
        <x:v>536250</x:v>
      </x:c>
      <x:c r="C44" s="159" t="str">
        <x:v>BCVH Hương Thủy</x:v>
      </x:c>
      <x:c r="D44" s="159" t="str">
        <x:v>Bưu cục vận hành</x:v>
      </x:c>
      <x:c r="E44" s="159" t="str">
        <x:v>Xe tải</x:v>
      </x:c>
      <x:c r="F44" s="181" t="str">
        <x:v>1028 Đường Nguyễn Tất Thành</x:v>
      </x:c>
      <x:c r="G44" s="181" t="str">
        <x:v>Phường Phú Bài</x:v>
      </x:c>
      <x:c r="H44" s="159" t="str">
        <x:v>Hoạt động</x:v>
      </x:c>
      <x:c r="I44" s="187" t="n">
        <x:v>107.688858973105</x:v>
      </x:c>
      <x:c r="J44" s="187" t="n">
        <x:v>16.3837080161244</x:v>
      </x:c>
      <x:c r="K44" s="160" t="str">
        <x:v>BCVH Hương Thủy</x:v>
      </x:c>
    </x:row>
    <x:row r="45">
      <x:c r="A45" s="158" t="n">
        <x:v>41</x:v>
      </x:c>
      <x:c r="B45" s="159" t="str">
        <x:v>537015</x:v>
      </x:c>
      <x:c r="C45" s="159" t="str">
        <x:v>BCVH Thuận An</x:v>
      </x:c>
      <x:c r="D45" s="159" t="str">
        <x:v>Bưu cục vận hành</x:v>
      </x:c>
      <x:c r="E45" s="159" t="str">
        <x:v>Xe tải</x:v>
      </x:c>
      <x:c r="F45" s="181" t="str">
        <x:v>Thôn Trung Đông</x:v>
      </x:c>
      <x:c r="G45" s="181" t="str">
        <x:v>Phường Mỹ Thượng</x:v>
      </x:c>
      <x:c r="H45" s="159" t="str">
        <x:v>Hoạt động</x:v>
      </x:c>
      <x:c r="I45" s="187" t="n">
        <x:v>107.597967075279</x:v>
      </x:c>
      <x:c r="J45" s="187" t="n">
        <x:v>16.5092325898865</x:v>
      </x:c>
      <x:c r="K45" s="160" t="str">
        <x:v>BCVH Thuận An</x:v>
      </x:c>
    </x:row>
    <x:row r="46">
      <x:c r="A46" s="158" t="n">
        <x:v>42</x:v>
      </x:c>
      <x:c r="B46" s="159" t="str">
        <x:v>537220</x:v>
      </x:c>
      <x:c r="C46" s="159" t="str">
        <x:v>BCVH Phú Lộc</x:v>
      </x:c>
      <x:c r="D46" s="159" t="str">
        <x:v>Bưu cục vận hành</x:v>
      </x:c>
      <x:c r="E46" s="159" t="str">
        <x:v>Xe tải</x:v>
      </x:c>
      <x:c r="F46" s="181" t="str">
        <x:v>118 Đường Lý Thánh Tông</x:v>
      </x:c>
      <x:c r="G46" s="181" t="str">
        <x:v>Xã Phú Lộc</x:v>
      </x:c>
      <x:c r="H46" s="159" t="str">
        <x:v>Hoạt động</x:v>
      </x:c>
      <x:c r="I46" s="187" t="n">
        <x:v>107.860034879957</x:v>
      </x:c>
      <x:c r="J46" s="187" t="n">
        <x:v>16.2803428466448</x:v>
      </x:c>
      <x:c r="K46" s="160" t="str">
        <x:v>BCVH Phú Lộc</x:v>
      </x:c>
    </x:row>
    <x:row r="47">
      <x:c r="A47" s="158" t="n">
        <x:v>43</x:v>
      </x:c>
      <x:c r="B47" s="159" t="str">
        <x:v>532530</x:v>
      </x:c>
      <x:c r="C47" s="159" t="str">
        <x:v>Hương Sơ</x:v>
      </x:c>
      <x:c r="D47" s="159" t="str">
        <x:v>VHX</x:v>
      </x:c>
      <x:c r="E47" s="159" t="str">
        <x:v>Tam giác</x:v>
      </x:c>
      <x:c r="F47" s="181" t="str">
        <x:v>Thôn Lệ Khê</x:v>
      </x:c>
      <x:c r="G47" s="181" t="str">
        <x:v>Phường Hương An</x:v>
      </x:c>
      <x:c r="H47" s="159" t="str">
        <x:v>Hoạt động</x:v>
      </x:c>
      <x:c r="I47" s="187" t="n">
        <x:v>107.5642877</x:v>
      </x:c>
      <x:c r="J47" s="187" t="n">
        <x:v>16.49518491</x:v>
      </x:c>
      <x:c r="K47" s="160" t="str">
        <x:v>Bưu điện phường Hương An</x:v>
      </x:c>
    </x:row>
    <x:row r="48">
      <x:c r="A48" s="158" t="n">
        <x:v>44</x:v>
      </x:c>
      <x:c r="B48" s="159" t="str">
        <x:v>532920</x:v>
      </x:c>
      <x:c r="C48" s="159" t="str">
        <x:v>Hương Long</x:v>
      </x:c>
      <x:c r="D48" s="159" t="str">
        <x:v>VHX</x:v>
      </x:c>
      <x:c r="E48" s="159" t="str">
        <x:v>Tam giác</x:v>
      </x:c>
      <x:c r="F48" s="181" t="str">
        <x:v>89 Đường Lý Nam Đế</x:v>
      </x:c>
      <x:c r="G48" s="181" t="str">
        <x:v>Phường Kim Long</x:v>
      </x:c>
      <x:c r="H48" s="159" t="str">
        <x:v>Hoạt động</x:v>
      </x:c>
      <x:c r="I48" s="187" t="n">
        <x:v>107.5444948</x:v>
      </x:c>
      <x:c r="J48" s="187" t="n">
        <x:v>16.4633852</x:v>
      </x:c>
      <x:c r="K48" s="160" t="str">
        <x:v>Bưu điện phường Kim Long</x:v>
      </x:c>
    </x:row>
    <x:row r="49">
      <x:c r="A49" s="158" t="n">
        <x:v>45</x:v>
      </x:c>
      <x:c r="B49" s="159" t="str">
        <x:v>533150</x:v>
      </x:c>
      <x:c r="C49" s="159" t="str">
        <x:v>Thuỷ Biều</x:v>
      </x:c>
      <x:c r="D49" s="159" t="str">
        <x:v>VHX</x:v>
      </x:c>
      <x:c r="E49" s="159" t="str">
        <x:v>Tam giác</x:v>
      </x:c>
      <x:c r="F49" s="181" t="str">
        <x:v>21 Đường Ngô Hà</x:v>
      </x:c>
      <x:c r="G49" s="181" t="str">
        <x:v>Phường Thủy Xuân</x:v>
      </x:c>
      <x:c r="H49" s="159" t="str">
        <x:v>Hoạt động</x:v>
      </x:c>
      <x:c r="I49" s="187" t="n">
        <x:v>107.5439279</x:v>
      </x:c>
      <x:c r="J49" s="187" t="n">
        <x:v>16.44476256</x:v>
      </x:c>
      <x:c r="K49" s="160" t="str">
        <x:v>Bưu điện phường Thủy Xuân</x:v>
      </x:c>
    </x:row>
    <x:row r="50">
      <x:c r="A50" s="158" t="n">
        <x:v>46</x:v>
      </x:c>
      <x:c r="B50" s="159" t="str">
        <x:v>533250</x:v>
      </x:c>
      <x:c r="C50" s="159" t="str">
        <x:v>Thuỷ Xuân</x:v>
      </x:c>
      <x:c r="D50" s="159" t="str">
        <x:v>VHX</x:v>
      </x:c>
      <x:c r="E50" s="159" t="str">
        <x:v>Tam giác</x:v>
      </x:c>
      <x:c r="F50" s="181" t="str">
        <x:v>45 Đường Minh Mạng</x:v>
      </x:c>
      <x:c r="G50" s="181" t="str">
        <x:v>Phường Thủy Xuân</x:v>
      </x:c>
      <x:c r="H50" s="159" t="str">
        <x:v>Hoạt động</x:v>
      </x:c>
      <x:c r="I50" s="187" t="n">
        <x:v>107.5802111</x:v>
      </x:c>
      <x:c r="J50" s="187" t="n">
        <x:v>16.43183885</x:v>
      </x:c>
      <x:c r="K50" s="160" t="str">
        <x:v>Bưu điện phường Thủy Xuân</x:v>
      </x:c>
    </x:row>
    <x:row r="51">
      <x:c r="A51" s="158" t="n">
        <x:v>47</x:v>
      </x:c>
      <x:c r="B51" s="159" t="str">
        <x:v>533810</x:v>
      </x:c>
      <x:c r="C51" s="159" t="str">
        <x:v>Thuỷ An</x:v>
      </x:c>
      <x:c r="D51" s="159" t="str">
        <x:v>VHX</x:v>
      </x:c>
      <x:c r="E51" s="159" t="str">
        <x:v>Tam giác</x:v>
      </x:c>
      <x:c r="F51" s="181" t="str">
        <x:v>22 Đường Hoàng Quốc Việt</x:v>
      </x:c>
      <x:c r="G51" s="181" t="str">
        <x:v>Phường An Cựu</x:v>
      </x:c>
      <x:c r="H51" s="159" t="str">
        <x:v>Hoạt động</x:v>
      </x:c>
      <x:c r="I51" s="187" t="n">
        <x:v>107.61128</x:v>
      </x:c>
      <x:c r="J51" s="187" t="n">
        <x:v>16.45914444</x:v>
      </x:c>
      <x:c r="K51" s="160" t="str">
        <x:v>Bưu điện phường An Cựu</x:v>
      </x:c>
    </x:row>
    <x:row r="52">
      <x:c r="A52" s="158" t="n">
        <x:v>48</x:v>
      </x:c>
      <x:c r="B52" s="159" t="str">
        <x:v>534620</x:v>
      </x:c>
      <x:c r="C52" s="159" t="str">
        <x:v>Quảng Phước</x:v>
      </x:c>
      <x:c r="D52" s="159" t="str">
        <x:v>VHX</x:v>
      </x:c>
      <x:c r="E52" s="159" t="str">
        <x:v>Tam giác</x:v>
      </x:c>
      <x:c r="F52" s="181" t="str">
        <x:v>Thôn Khuôn Phò Đông</x:v>
      </x:c>
      <x:c r="G52" s="181" t="str">
        <x:v>Xã Quảng Điền</x:v>
      </x:c>
      <x:c r="H52" s="159" t="str">
        <x:v>Hoạt động</x:v>
      </x:c>
      <x:c r="I52" s="187" t="n">
        <x:v>107.5199895</x:v>
      </x:c>
      <x:c r="J52" s="187" t="n">
        <x:v>16.57390577</x:v>
      </x:c>
      <x:c r="K52" s="160" t="str">
        <x:v>Bưu điện xã Quảng Điền</x:v>
      </x:c>
    </x:row>
    <x:row r="53">
      <x:c r="A53" s="158" t="n">
        <x:v>49</x:v>
      </x:c>
      <x:c r="B53" s="159" t="str">
        <x:v>534661</x:v>
      </x:c>
      <x:c r="C53" s="159" t="str">
        <x:v>Quảng Ngạn</x:v>
      </x:c>
      <x:c r="D53" s="159" t="str">
        <x:v>VHX</x:v>
      </x:c>
      <x:c r="E53" s="159" t="str">
        <x:v>Tam giác</x:v>
      </x:c>
      <x:c r="F53" s="181" t="str">
        <x:v>Thôn 2</x:v>
      </x:c>
      <x:c r="G53" s="181" t="str">
        <x:v>Phường Phong Quảng</x:v>
      </x:c>
      <x:c r="H53" s="159" t="str">
        <x:v>Hoạt động</x:v>
      </x:c>
      <x:c r="I53" s="187" t="n">
        <x:v>107.507654</x:v>
      </x:c>
      <x:c r="J53" s="187" t="n">
        <x:v>16.63247699</x:v>
      </x:c>
      <x:c r="K53" s="160" t="str">
        <x:v>Bưu điện phường Phong Quảng</x:v>
      </x:c>
    </x:row>
    <x:row r="54">
      <x:c r="A54" s="158" t="n">
        <x:v>50</x:v>
      </x:c>
      <x:c r="B54" s="159" t="str">
        <x:v>534680</x:v>
      </x:c>
      <x:c r="C54" s="159" t="str">
        <x:v>Quảng Lợi</x:v>
      </x:c>
      <x:c r="D54" s="159" t="str">
        <x:v>VHX</x:v>
      </x:c>
      <x:c r="E54" s="159" t="str">
        <x:v>Tam giác</x:v>
      </x:c>
      <x:c r="F54" s="181" t="str">
        <x:v>Thôn Mỹ Thạnh</x:v>
      </x:c>
      <x:c r="G54" s="181" t="str">
        <x:v>Xã Đan Điền</x:v>
      </x:c>
      <x:c r="H54" s="159" t="str">
        <x:v>Hoạt động</x:v>
      </x:c>
      <x:c r="I54" s="187" t="n">
        <x:v>107.496559</x:v>
      </x:c>
      <x:c r="J54" s="187" t="n">
        <x:v>16.59625599</x:v>
      </x:c>
      <x:c r="K54" s="160" t="str">
        <x:v>Bưu điện xã Đan Điền</x:v>
      </x:c>
    </x:row>
    <x:row r="55">
      <x:c r="A55" s="158" t="n">
        <x:v>51</x:v>
      </x:c>
      <x:c r="B55" s="159" t="str">
        <x:v>534700</x:v>
      </x:c>
      <x:c r="C55" s="159" t="str">
        <x:v>Quảng Thái</x:v>
      </x:c>
      <x:c r="D55" s="159" t="str">
        <x:v>VHX</x:v>
      </x:c>
      <x:c r="E55" s="159" t="str">
        <x:v>Tam giác</x:v>
      </x:c>
      <x:c r="F55" s="181" t="str">
        <x:v>Thôn Đông Hồ</x:v>
      </x:c>
      <x:c r="G55" s="181" t="str">
        <x:v>Xã Đan Điền</x:v>
      </x:c>
      <x:c r="H55" s="159" t="str">
        <x:v>Hoạt động</x:v>
      </x:c>
      <x:c r="I55" s="187" t="n">
        <x:v>107.431635</x:v>
      </x:c>
      <x:c r="J55" s="187" t="n">
        <x:v>16.629255</x:v>
      </x:c>
      <x:c r="K55" s="160" t="str">
        <x:v>Bưu điện xã Đan Điền</x:v>
      </x:c>
    </x:row>
    <x:row r="56">
      <x:c r="A56" s="158" t="n">
        <x:v>52</x:v>
      </x:c>
      <x:c r="B56" s="159" t="str">
        <x:v>534720</x:v>
      </x:c>
      <x:c r="C56" s="159" t="str">
        <x:v>Quảng Vinh</x:v>
      </x:c>
      <x:c r="D56" s="159" t="str">
        <x:v>VHX</x:v>
      </x:c>
      <x:c r="E56" s="159" t="str">
        <x:v>Tam giác</x:v>
      </x:c>
      <x:c r="F56" s="181" t="str">
        <x:v>Thôn Sơn Tùng</x:v>
      </x:c>
      <x:c r="G56" s="181" t="str">
        <x:v>Xã Đan Điền</x:v>
      </x:c>
      <x:c r="H56" s="159" t="str">
        <x:v>Hoạt động</x:v>
      </x:c>
      <x:c r="I56" s="187" t="n">
        <x:v>107.4967295</x:v>
      </x:c>
      <x:c r="J56" s="187" t="n">
        <x:v>16.56064421</x:v>
      </x:c>
      <x:c r="K56" s="160" t="str">
        <x:v>Bưu điện xã Đan Điền</x:v>
      </x:c>
    </x:row>
    <x:row r="57">
      <x:c r="A57" s="158" t="n">
        <x:v>53</x:v>
      </x:c>
      <x:c r="B57" s="159" t="str">
        <x:v>534750</x:v>
      </x:c>
      <x:c r="C57" s="159" t="str">
        <x:v>Quảng Phú</x:v>
      </x:c>
      <x:c r="D57" s="159" t="str">
        <x:v>VHX</x:v>
      </x:c>
      <x:c r="E57" s="159" t="str">
        <x:v>Tam giác</x:v>
      </x:c>
      <x:c r="F57" s="181" t="str">
        <x:v>Thôn Hạ Lang</x:v>
      </x:c>
      <x:c r="G57" s="181" t="str">
        <x:v>Xã Đan Điền</x:v>
      </x:c>
      <x:c r="H57" s="159" t="str">
        <x:v>Hoạt động</x:v>
      </x:c>
      <x:c r="I57" s="187" t="n">
        <x:v>107.4936113</x:v>
      </x:c>
      <x:c r="J57" s="187" t="n">
        <x:v>16.5275942</x:v>
      </x:c>
      <x:c r="K57" s="160" t="str">
        <x:v>Bưu điện xã Đan Điền</x:v>
      </x:c>
    </x:row>
    <x:row r="58">
      <x:c r="A58" s="158" t="n">
        <x:v>54</x:v>
      </x:c>
      <x:c r="B58" s="159" t="str">
        <x:v>534770</x:v>
      </x:c>
      <x:c r="C58" s="159" t="str">
        <x:v>Quảng Thọ</x:v>
      </x:c>
      <x:c r="D58" s="159" t="str">
        <x:v>VHX</x:v>
      </x:c>
      <x:c r="E58" s="159" t="str">
        <x:v>Tam giác</x:v>
      </x:c>
      <x:c r="F58" s="181" t="str">
        <x:v>Thôn Tân Xuân Lai</x:v>
      </x:c>
      <x:c r="G58" s="181" t="str">
        <x:v>Xã Quảng Điền</x:v>
      </x:c>
      <x:c r="H58" s="159" t="str">
        <x:v>Hoạt động</x:v>
      </x:c>
      <x:c r="I58" s="187" t="n">
        <x:v>107.5259188</x:v>
      </x:c>
      <x:c r="J58" s="187" t="n">
        <x:v>16.54026793</x:v>
      </x:c>
      <x:c r="K58" s="160" t="str">
        <x:v>Bưu điện xã Quảng Điền</x:v>
      </x:c>
    </x:row>
    <x:row r="59">
      <x:c r="A59" s="158" t="n">
        <x:v>55</x:v>
      </x:c>
      <x:c r="B59" s="159" t="str">
        <x:v>534800</x:v>
      </x:c>
      <x:c r="C59" s="159" t="str">
        <x:v>Quảng An</x:v>
      </x:c>
      <x:c r="D59" s="159" t="str">
        <x:v>VHX</x:v>
      </x:c>
      <x:c r="E59" s="159" t="str">
        <x:v>Tam giác</x:v>
      </x:c>
      <x:c r="F59" s="181" t="str">
        <x:v>Thôn Mỹ Xá</x:v>
      </x:c>
      <x:c r="G59" s="181" t="str">
        <x:v>Xã Quảng Điền</x:v>
      </x:c>
      <x:c r="H59" s="159" t="str">
        <x:v>Hoạt động</x:v>
      </x:c>
      <x:c r="I59" s="187" t="n">
        <x:v>107.5483666</x:v>
      </x:c>
      <x:c r="J59" s="187" t="n">
        <x:v>16.5475723</x:v>
      </x:c>
      <x:c r="K59" s="160" t="str">
        <x:v>Bưu điện xã Quảng Điền</x:v>
      </x:c>
    </x:row>
    <x:row r="60">
      <x:c r="A60" s="158" t="n">
        <x:v>56</x:v>
      </x:c>
      <x:c r="B60" s="159" t="str">
        <x:v>534811</x:v>
      </x:c>
      <x:c r="C60" s="159" t="str">
        <x:v>Quảng Thành</x:v>
      </x:c>
      <x:c r="D60" s="159" t="str">
        <x:v>VHX</x:v>
      </x:c>
      <x:c r="E60" s="159" t="str">
        <x:v>Tam giác</x:v>
      </x:c>
      <x:c r="F60" s="181" t="str">
        <x:v>Thôn Thành Trung</x:v>
      </x:c>
      <x:c r="G60" s="181" t="str">
        <x:v>Phường Hóa Châu</x:v>
      </x:c>
      <x:c r="H60" s="159" t="str">
        <x:v>Hoạt động</x:v>
      </x:c>
      <x:c r="I60" s="187" t="n">
        <x:v>107.56927</x:v>
      </x:c>
      <x:c r="J60" s="187" t="n">
        <x:v>16.54118379</x:v>
      </x:c>
      <x:c r="K60" s="160" t="str">
        <x:v>Bưu điện phường Hóa Châu</x:v>
      </x:c>
    </x:row>
    <x:row r="61">
      <x:c r="A61" s="158" t="n">
        <x:v>57</x:v>
      </x:c>
      <x:c r="B61" s="159" t="str">
        <x:v>534910</x:v>
      </x:c>
      <x:c r="C61" s="159" t="str">
        <x:v>Phong Hiền</x:v>
      </x:c>
      <x:c r="D61" s="159" t="str">
        <x:v>VHX</x:v>
      </x:c>
      <x:c r="E61" s="159" t="str">
        <x:v>Tam giác</x:v>
      </x:c>
      <x:c r="F61" s="181" t="str">
        <x:v>Thôn An Lỗ</x:v>
      </x:c>
      <x:c r="G61" s="181" t="str">
        <x:v>Phường Phong Thái</x:v>
      </x:c>
      <x:c r="H61" s="159" t="str">
        <x:v>Hoạt động</x:v>
      </x:c>
      <x:c r="I61" s="187" t="n">
        <x:v>107.453248</x:v>
      </x:c>
      <x:c r="J61" s="187" t="n">
        <x:v>16.5547335</x:v>
      </x:c>
      <x:c r="K61" s="160" t="str">
        <x:v>Bưu điện phường Phong Thái</x:v>
      </x:c>
    </x:row>
    <x:row r="62">
      <x:c r="A62" s="158" t="n">
        <x:v>58</x:v>
      </x:c>
      <x:c r="B62" s="159" t="str">
        <x:v>534930</x:v>
      </x:c>
      <x:c r="C62" s="159" t="str">
        <x:v>Phong Chương</x:v>
      </x:c>
      <x:c r="D62" s="159" t="str">
        <x:v>VHX</x:v>
      </x:c>
      <x:c r="E62" s="159" t="str">
        <x:v>Tam giác</x:v>
      </x:c>
      <x:c r="F62" s="181" t="str">
        <x:v>Thôn Trung Thạnh</x:v>
      </x:c>
      <x:c r="G62" s="181" t="str">
        <x:v>Phường Phong Dinh</x:v>
      </x:c>
      <x:c r="H62" s="159" t="str">
        <x:v>Hoạt động</x:v>
      </x:c>
      <x:c r="I62" s="187" t="n">
        <x:v>107.3828951</x:v>
      </x:c>
      <x:c r="J62" s="187" t="n">
        <x:v>16.66081772</x:v>
      </x:c>
      <x:c r="K62" s="160" t="str">
        <x:v>Bưu điện phường Phong Dinh</x:v>
      </x:c>
    </x:row>
    <x:row r="63">
      <x:c r="A63" s="158" t="n">
        <x:v>59</x:v>
      </x:c>
      <x:c r="B63" s="159" t="str">
        <x:v>534950</x:v>
      </x:c>
      <x:c r="C63" s="159" t="str">
        <x:v>Điền Lộc</x:v>
      </x:c>
      <x:c r="D63" s="159" t="str">
        <x:v>VHX</x:v>
      </x:c>
      <x:c r="E63" s="159" t="str">
        <x:v>Tam giác</x:v>
      </x:c>
      <x:c r="F63" s="181" t="str">
        <x:v>Thôn Nhất Tây</x:v>
      </x:c>
      <x:c r="G63" s="181" t="str">
        <x:v>Phường Phong Phú</x:v>
      </x:c>
      <x:c r="H63" s="159" t="str">
        <x:v>Hoạt động</x:v>
      </x:c>
      <x:c r="I63" s="187" t="n">
        <x:v>107.412976</x:v>
      </x:c>
      <x:c r="J63" s="187" t="n">
        <x:v>16.68279703</x:v>
      </x:c>
      <x:c r="K63" s="160" t="str">
        <x:v>Bưu điện phường Phong Phú</x:v>
      </x:c>
    </x:row>
    <x:row r="64">
      <x:c r="A64" s="158" t="n">
        <x:v>60</x:v>
      </x:c>
      <x:c r="B64" s="159" t="str">
        <x:v>534980</x:v>
      </x:c>
      <x:c r="C64" s="159" t="str">
        <x:v>Điền Hải</x:v>
      </x:c>
      <x:c r="D64" s="159" t="str">
        <x:v>VHX</x:v>
      </x:c>
      <x:c r="E64" s="159" t="str">
        <x:v>Tam giác</x:v>
      </x:c>
      <x:c r="F64" s="181" t="str">
        <x:v>Thôn 4</x:v>
      </x:c>
      <x:c r="G64" s="181" t="str">
        <x:v>Phường Phong Quảng</x:v>
      </x:c>
      <x:c r="H64" s="159" t="str">
        <x:v>Hoạt động</x:v>
      </x:c>
      <x:c r="I64" s="187" t="n">
        <x:v>107.4732064</x:v>
      </x:c>
      <x:c r="J64" s="187" t="n">
        <x:v>16.65317456</x:v>
      </x:c>
      <x:c r="K64" s="160" t="str">
        <x:v>Bưu điện phường Phong Quảng</x:v>
      </x:c>
    </x:row>
    <x:row r="65">
      <x:c r="A65" s="158" t="n">
        <x:v>61</x:v>
      </x:c>
      <x:c r="B65" s="159" t="str">
        <x:v>535000</x:v>
      </x:c>
      <x:c r="C65" s="159" t="str">
        <x:v>Phong Hải</x:v>
      </x:c>
      <x:c r="D65" s="159" t="str">
        <x:v>VHX</x:v>
      </x:c>
      <x:c r="E65" s="159" t="str">
        <x:v>Tam giác</x:v>
      </x:c>
      <x:c r="F65" s="181" t="str">
        <x:v>Thôn B1</x:v>
      </x:c>
      <x:c r="G65" s="181" t="str">
        <x:v>Phường Phong Quảng</x:v>
      </x:c>
      <x:c r="H65" s="159" t="str">
        <x:v>Hoạt động</x:v>
      </x:c>
      <x:c r="I65" s="187" t="n">
        <x:v>107.4766204</x:v>
      </x:c>
      <x:c r="J65" s="187" t="n">
        <x:v>16.6689626</x:v>
      </x:c>
      <x:c r="K65" s="160" t="str">
        <x:v>Bưu điện phường Phong Quảng</x:v>
      </x:c>
    </x:row>
    <x:row r="66">
      <x:c r="A66" s="158" t="n">
        <x:v>62</x:v>
      </x:c>
      <x:c r="B66" s="159" t="str">
        <x:v>535010</x:v>
      </x:c>
      <x:c r="C66" s="159" t="str">
        <x:v>Điền Môn</x:v>
      </x:c>
      <x:c r="D66" s="159" t="str">
        <x:v>VHX</x:v>
      </x:c>
      <x:c r="E66" s="159" t="str">
        <x:v>Tam giác</x:v>
      </x:c>
      <x:c r="F66" s="181" t="str">
        <x:v>Thôn Kế Môn 1</x:v>
      </x:c>
      <x:c r="G66" s="181" t="str">
        <x:v>Phường Phong Phú</x:v>
      </x:c>
      <x:c r="H66" s="159" t="str">
        <x:v>Hoạt động</x:v>
      </x:c>
      <x:c r="I66" s="187" t="n">
        <x:v>107.3901926</x:v>
      </x:c>
      <x:c r="J66" s="187" t="n">
        <x:v>16.69314093</x:v>
      </x:c>
      <x:c r="K66" s="160" t="str">
        <x:v>Bưu điện phường Phong Phú</x:v>
      </x:c>
    </x:row>
    <x:row r="67">
      <x:c r="A67" s="158" t="n">
        <x:v>63</x:v>
      </x:c>
      <x:c r="B67" s="159" t="str">
        <x:v>535020</x:v>
      </x:c>
      <x:c r="C67" s="159" t="str">
        <x:v>Phong Thu</x:v>
      </x:c>
      <x:c r="D67" s="159" t="str">
        <x:v>VHX</x:v>
      </x:c>
      <x:c r="E67" s="159" t="str">
        <x:v>Tam giác</x:v>
      </x:c>
      <x:c r="F67" s="181" t="str">
        <x:v>Thôn Trạch Hữu</x:v>
      </x:c>
      <x:c r="G67" s="181" t="str">
        <x:v>Phường Phong Điền</x:v>
      </x:c>
      <x:c r="H67" s="159" t="str">
        <x:v>Hoạt động</x:v>
      </x:c>
      <x:c r="I67" s="187" t="n">
        <x:v>107.3515454</x:v>
      </x:c>
      <x:c r="J67" s="187" t="n">
        <x:v>16.58701251</x:v>
      </x:c>
      <x:c r="K67" s="160" t="str">
        <x:v>Bưu điện phường Phong Điền</x:v>
      </x:c>
    </x:row>
    <x:row r="68">
      <x:c r="A68" s="158" t="n">
        <x:v>64</x:v>
      </x:c>
      <x:c r="B68" s="159" t="str">
        <x:v>535041</x:v>
      </x:c>
      <x:c r="C68" s="159" t="str">
        <x:v>Phong Hòa</x:v>
      </x:c>
      <x:c r="D68" s="159" t="str">
        <x:v>VHX</x:v>
      </x:c>
      <x:c r="E68" s="159" t="str">
        <x:v>Tam giác</x:v>
      </x:c>
      <x:c r="F68" s="181" t="str">
        <x:v>Thôn Trạch Phổ</x:v>
      </x:c>
      <x:c r="G68" s="181" t="str">
        <x:v>Phường Phong Dinh</x:v>
      </x:c>
      <x:c r="H68" s="159" t="str">
        <x:v>Hoạt động</x:v>
      </x:c>
      <x:c r="I68" s="187" t="n">
        <x:v>107.3249155</x:v>
      </x:c>
      <x:c r="J68" s="187" t="n">
        <x:v>16.65847009</x:v>
      </x:c>
      <x:c r="K68" s="160" t="str">
        <x:v>Bưu điện phường Phong Dinh</x:v>
      </x:c>
    </x:row>
    <x:row r="69">
      <x:c r="A69" s="158" t="n">
        <x:v>65</x:v>
      </x:c>
      <x:c r="B69" s="159" t="str">
        <x:v>535070</x:v>
      </x:c>
      <x:c r="C69" s="159" t="str">
        <x:v>Phong Bình</x:v>
      </x:c>
      <x:c r="D69" s="159" t="str">
        <x:v>VHX</x:v>
      </x:c>
      <x:c r="E69" s="159" t="str">
        <x:v>Tam giác</x:v>
      </x:c>
      <x:c r="F69" s="181" t="str">
        <x:v>Thôn Tây Phú (phò Trạch)</x:v>
      </x:c>
      <x:c r="G69" s="181" t="str">
        <x:v>Phường Phong Dinh</x:v>
      </x:c>
      <x:c r="H69" s="159" t="str">
        <x:v>Hoạt động</x:v>
      </x:c>
      <x:c r="I69" s="187" t="n">
        <x:v>107.3323302</x:v>
      </x:c>
      <x:c r="J69" s="187" t="n">
        <x:v>16.67031741</x:v>
      </x:c>
      <x:c r="K69" s="160" t="str">
        <x:v>Bưu điện phường Phong Dinh</x:v>
      </x:c>
    </x:row>
    <x:row r="70">
      <x:c r="A70" s="158" t="n">
        <x:v>66</x:v>
      </x:c>
      <x:c r="B70" s="159" t="str">
        <x:v>535090</x:v>
      </x:c>
      <x:c r="C70" s="159" t="str">
        <x:v>Điền Hương</x:v>
      </x:c>
      <x:c r="D70" s="159" t="str">
        <x:v>VHX</x:v>
      </x:c>
      <x:c r="E70" s="159" t="str">
        <x:v>Tam giác</x:v>
      </x:c>
      <x:c r="F70" s="181" t="str">
        <x:v>Thôn Thanh Hương Tây</x:v>
      </x:c>
      <x:c r="G70" s="181" t="str">
        <x:v>Phường Phong Phú</x:v>
      </x:c>
      <x:c r="H70" s="159" t="str">
        <x:v>Hoạt động</x:v>
      </x:c>
      <x:c r="I70" s="187" t="n">
        <x:v>107.3617405</x:v>
      </x:c>
      <x:c r="J70" s="187" t="n">
        <x:v>16.70547513</x:v>
      </x:c>
      <x:c r="K70" s="160" t="str">
        <x:v>Bưu điện phường Phong Phú</x:v>
      </x:c>
    </x:row>
    <x:row r="71">
      <x:c r="A71" s="158" t="n">
        <x:v>67</x:v>
      </x:c>
      <x:c r="B71" s="159" t="str">
        <x:v>535100</x:v>
      </x:c>
      <x:c r="C71" s="159" t="str">
        <x:v>Phong Mỹ</x:v>
      </x:c>
      <x:c r="D71" s="159" t="str">
        <x:v>VHX</x:v>
      </x:c>
      <x:c r="E71" s="159" t="str">
        <x:v>Tam giác</x:v>
      </x:c>
      <x:c r="F71" s="181" t="str">
        <x:v>Thôn Lưu Hiền Hòa</x:v>
      </x:c>
      <x:c r="G71" s="181" t="str">
        <x:v>Phường Phong Điền</x:v>
      </x:c>
      <x:c r="H71" s="159" t="str">
        <x:v>Hoạt động</x:v>
      </x:c>
      <x:c r="I71" s="187" t="n">
        <x:v>107.3184691</x:v>
      </x:c>
      <x:c r="J71" s="187" t="n">
        <x:v>16.52330967</x:v>
      </x:c>
      <x:c r="K71" s="160" t="str">
        <x:v>Bưu điện phường Phong Điền</x:v>
      </x:c>
    </x:row>
    <x:row r="72">
      <x:c r="A72" s="158" t="n">
        <x:v>68</x:v>
      </x:c>
      <x:c r="B72" s="159" t="str">
        <x:v>535141</x:v>
      </x:c>
      <x:c r="C72" s="159" t="str">
        <x:v>Phong An</x:v>
      </x:c>
      <x:c r="D72" s="159" t="str">
        <x:v>VHX</x:v>
      </x:c>
      <x:c r="E72" s="159" t="str">
        <x:v>Tam giác</x:v>
      </x:c>
      <x:c r="F72" s="181" t="str">
        <x:v>Thôn Phò Ninh</x:v>
      </x:c>
      <x:c r="G72" s="181" t="str">
        <x:v>Phường Phong Thái</x:v>
      </x:c>
      <x:c r="H72" s="159" t="str">
        <x:v>Hoạt động</x:v>
      </x:c>
      <x:c r="I72" s="187" t="n">
        <x:v>107.4427311</x:v>
      </x:c>
      <x:c r="J72" s="187" t="n">
        <x:v>16.53390423</x:v>
      </x:c>
      <x:c r="K72" s="160" t="str">
        <x:v>Bưu điện phường Phong Thái</x:v>
      </x:c>
    </x:row>
    <x:row r="73">
      <x:c r="A73" s="158" t="n">
        <x:v>69</x:v>
      </x:c>
      <x:c r="B73" s="159" t="str">
        <x:v>535160</x:v>
      </x:c>
      <x:c r="C73" s="159" t="str">
        <x:v>Phong Sơn</x:v>
      </x:c>
      <x:c r="D73" s="159" t="str">
        <x:v>VHX</x:v>
      </x:c>
      <x:c r="E73" s="159" t="str">
        <x:v>Tam giác</x:v>
      </x:c>
      <x:c r="F73" s="181" t="str">
        <x:v>Thôn Sơn Quả</x:v>
      </x:c>
      <x:c r="G73" s="181" t="str">
        <x:v>Phường Phong Thái</x:v>
      </x:c>
      <x:c r="H73" s="159" t="str">
        <x:v>Hoạt động</x:v>
      </x:c>
      <x:c r="I73" s="187" t="n">
        <x:v>107.4067144</x:v>
      </x:c>
      <x:c r="J73" s="187" t="n">
        <x:v>16.49322842</x:v>
      </x:c>
      <x:c r="K73" s="160" t="str">
        <x:v>Bưu điện phường Phong Thái</x:v>
      </x:c>
    </x:row>
    <x:row r="74">
      <x:c r="A74" s="158" t="n">
        <x:v>70</x:v>
      </x:c>
      <x:c r="B74" s="159" t="str">
        <x:v>535320</x:v>
      </x:c>
      <x:c r="C74" s="159" t="str">
        <x:v>Hương Toàn</x:v>
      </x:c>
      <x:c r="D74" s="159" t="str">
        <x:v>VHX</x:v>
      </x:c>
      <x:c r="E74" s="159" t="str">
        <x:v>Tam giác</x:v>
      </x:c>
      <x:c r="F74" s="181" t="str">
        <x:v>Thôn Giáp Tây</x:v>
      </x:c>
      <x:c r="G74" s="181" t="str">
        <x:v>Phường Kim Trà</x:v>
      </x:c>
      <x:c r="H74" s="159" t="str">
        <x:v>Hoạt động</x:v>
      </x:c>
      <x:c r="I74" s="187" t="n">
        <x:v>107.5349839</x:v>
      </x:c>
      <x:c r="J74" s="187" t="n">
        <x:v>16.5140435</x:v>
      </x:c>
      <x:c r="K74" s="160" t="str">
        <x:v>Bưu điện phường Kim Trà</x:v>
      </x:c>
    </x:row>
    <x:row r="75">
      <x:c r="A75" s="158" t="n">
        <x:v>71</x:v>
      </x:c>
      <x:c r="B75" s="159" t="str">
        <x:v>535340</x:v>
      </x:c>
      <x:c r="C75" s="159" t="str">
        <x:v>Hương Phong</x:v>
      </x:c>
      <x:c r="D75" s="159" t="str">
        <x:v>VHX</x:v>
      </x:c>
      <x:c r="E75" s="159" t="str">
        <x:v>Tam giác</x:v>
      </x:c>
      <x:c r="F75" s="181" t="str">
        <x:v>Thôn Vân Quật Thượng</x:v>
      </x:c>
      <x:c r="G75" s="181" t="str">
        <x:v>Phường Hóa Châu</x:v>
      </x:c>
      <x:c r="H75" s="159" t="str">
        <x:v>Hoạt động</x:v>
      </x:c>
      <x:c r="I75" s="187" t="n">
        <x:v>107.580247</x:v>
      </x:c>
      <x:c r="J75" s="187" t="n">
        <x:v>16.55424288</x:v>
      </x:c>
      <x:c r="K75" s="160" t="str">
        <x:v>Bưu điện phường Hóa Châu</x:v>
      </x:c>
    </x:row>
    <x:row r="76">
      <x:c r="A76" s="158" t="n">
        <x:v>72</x:v>
      </x:c>
      <x:c r="B76" s="159" t="str">
        <x:v>535350</x:v>
      </x:c>
      <x:c r="C76" s="159" t="str">
        <x:v>Hương Vinh</x:v>
      </x:c>
      <x:c r="D76" s="159" t="str">
        <x:v>VHX</x:v>
      </x:c>
      <x:c r="E76" s="159" t="str">
        <x:v>Tam giác</x:v>
      </x:c>
      <x:c r="F76" s="181" t="str">
        <x:v>Thôn Triều Sơn Nam</x:v>
      </x:c>
      <x:c r="G76" s="181" t="str">
        <x:v>Phường Hóa Châu</x:v>
      </x:c>
      <x:c r="H76" s="159" t="str">
        <x:v>Hoạt động</x:v>
      </x:c>
      <x:c r="I76" s="187" t="n">
        <x:v>107.5711477</x:v>
      </x:c>
      <x:c r="J76" s="187" t="n">
        <x:v>16.50953315</x:v>
      </x:c>
      <x:c r="K76" s="160" t="str">
        <x:v>Bưu điện phường Hóa Châu</x:v>
      </x:c>
    </x:row>
    <x:row r="77">
      <x:c r="A77" s="158" t="n">
        <x:v>73</x:v>
      </x:c>
      <x:c r="B77" s="159" t="str">
        <x:v>535370</x:v>
      </x:c>
      <x:c r="C77" s="159" t="str">
        <x:v>Hải Dương</x:v>
      </x:c>
      <x:c r="D77" s="159" t="str">
        <x:v>VHX</x:v>
      </x:c>
      <x:c r="E77" s="159" t="str">
        <x:v>Tam giác</x:v>
      </x:c>
      <x:c r="F77" s="181" t="str">
        <x:v>Thôn Thái Dương Thượng Tây</x:v>
      </x:c>
      <x:c r="G77" s="181" t="str">
        <x:v>Phường Thuận An</x:v>
      </x:c>
      <x:c r="H77" s="159" t="str">
        <x:v>Hoạt động</x:v>
      </x:c>
      <x:c r="I77" s="187" t="n">
        <x:v>107.6010136</x:v>
      </x:c>
      <x:c r="J77" s="187" t="n">
        <x:v>16.58023491</x:v>
      </x:c>
      <x:c r="K77" s="160" t="str">
        <x:v>Bưu điện phường Thuận An</x:v>
      </x:c>
    </x:row>
    <x:row r="78">
      <x:c r="A78" s="158" t="n">
        <x:v>74</x:v>
      </x:c>
      <x:c r="B78" s="159" t="str">
        <x:v>535380</x:v>
      </x:c>
      <x:c r="C78" s="159" t="str">
        <x:v>Hương Vân</x:v>
      </x:c>
      <x:c r="D78" s="159" t="str">
        <x:v>VHX</x:v>
      </x:c>
      <x:c r="E78" s="159" t="str">
        <x:v>Tam giác</x:v>
      </x:c>
      <x:c r="F78" s="181" t="str">
        <x:v>Thôn Lại Bằng</x:v>
      </x:c>
      <x:c r="G78" s="181" t="str">
        <x:v>Phường Hương Trà</x:v>
      </x:c>
      <x:c r="H78" s="159" t="str">
        <x:v>Hoạt động</x:v>
      </x:c>
      <x:c r="I78" s="187" t="n">
        <x:v>107.4397218</x:v>
      </x:c>
      <x:c r="J78" s="187" t="n">
        <x:v>16.5086052</x:v>
      </x:c>
      <x:c r="K78" s="160" t="str">
        <x:v>Bưu điện phường Hương Trà</x:v>
      </x:c>
    </x:row>
    <x:row r="79">
      <x:c r="A79" s="158" t="n">
        <x:v>75</x:v>
      </x:c>
      <x:c r="B79" s="159" t="str">
        <x:v>535410</x:v>
      </x:c>
      <x:c r="C79" s="159" t="str">
        <x:v>Hương Văn</x:v>
      </x:c>
      <x:c r="D79" s="159" t="str">
        <x:v>VHX</x:v>
      </x:c>
      <x:c r="E79" s="159" t="str">
        <x:v>Tam giác</x:v>
      </x:c>
      <x:c r="F79" s="181" t="str">
        <x:v>Đội 8 - Văn xá Tây</x:v>
      </x:c>
      <x:c r="G79" s="181" t="str">
        <x:v>Phường Hương Trà</x:v>
      </x:c>
      <x:c r="H79" s="159" t="str">
        <x:v>Hoạt động</x:v>
      </x:c>
      <x:c r="I79" s="187" t="n">
        <x:v>107.4939038</x:v>
      </x:c>
      <x:c r="J79" s="187" t="n">
        <x:v>16.51391915</x:v>
      </x:c>
      <x:c r="K79" s="160" t="str">
        <x:v>Bưu điện phường Hương Trà</x:v>
      </x:c>
    </x:row>
    <x:row r="80">
      <x:c r="A80" s="158" t="n">
        <x:v>76</x:v>
      </x:c>
      <x:c r="B80" s="159" t="str">
        <x:v>535440</x:v>
      </x:c>
      <x:c r="C80" s="159" t="str">
        <x:v>Hương Xuân</x:v>
      </x:c>
      <x:c r="D80" s="159" t="str">
        <x:v>VHX</x:v>
      </x:c>
      <x:c r="E80" s="159" t="str">
        <x:v>Tam giác</x:v>
      </x:c>
      <x:c r="F80" s="181" t="str">
        <x:v>Thôn Thanh Lương I</x:v>
      </x:c>
      <x:c r="G80" s="181" t="str">
        <x:v>Phường Kim Trà</x:v>
      </x:c>
      <x:c r="H80" s="159" t="str">
        <x:v>Hoạt động</x:v>
      </x:c>
      <x:c r="I80" s="187" t="n">
        <x:v>107.5017927</x:v>
      </x:c>
      <x:c r="J80" s="187" t="n">
        <x:v>16.51774738</x:v>
      </x:c>
      <x:c r="K80" s="160" t="str">
        <x:v>Bưu điện phường Kim Trà</x:v>
      </x:c>
    </x:row>
    <x:row r="81">
      <x:c r="A81" s="158" t="n">
        <x:v>77</x:v>
      </x:c>
      <x:c r="B81" s="159" t="str">
        <x:v>535460</x:v>
      </x:c>
      <x:c r="C81" s="159" t="str">
        <x:v>Hương Bình</x:v>
      </x:c>
      <x:c r="D81" s="159" t="str">
        <x:v>VHX</x:v>
      </x:c>
      <x:c r="E81" s="159" t="str">
        <x:v>Tam giác</x:v>
      </x:c>
      <x:c r="F81" s="181" t="str">
        <x:v>Thôn Hải Tân</x:v>
      </x:c>
      <x:c r="G81" s="181" t="str">
        <x:v>Xã Bình Điền</x:v>
      </x:c>
      <x:c r="H81" s="159" t="str">
        <x:v>Hoạt động</x:v>
      </x:c>
      <x:c r="I81" s="187" t="n">
        <x:v>107.4818557</x:v>
      </x:c>
      <x:c r="J81" s="187" t="n">
        <x:v>16.39446059</x:v>
      </x:c>
      <x:c r="K81" s="160" t="str">
        <x:v>Bưu điện xã Bình Điền</x:v>
      </x:c>
    </x:row>
    <x:row r="82">
      <x:c r="A82" s="158" t="n">
        <x:v>78</x:v>
      </x:c>
      <x:c r="B82" s="159" t="str">
        <x:v>535490</x:v>
      </x:c>
      <x:c r="C82" s="159" t="str">
        <x:v>Bình Thành</x:v>
      </x:c>
      <x:c r="D82" s="159" t="str">
        <x:v>VHX</x:v>
      </x:c>
      <x:c r="E82" s="159" t="str">
        <x:v>Tam giác</x:v>
      </x:c>
      <x:c r="F82" s="181" t="str">
        <x:v>Thôn Tam Hiệp</x:v>
      </x:c>
      <x:c r="G82" s="181" t="str">
        <x:v>Xã Bình Điền</x:v>
      </x:c>
      <x:c r="H82" s="159" t="str">
        <x:v>Hoạt động</x:v>
      </x:c>
      <x:c r="I82" s="187" t="n">
        <x:v>107.5258681</x:v>
      </x:c>
      <x:c r="J82" s="187" t="n">
        <x:v>16.35242389</x:v>
      </x:c>
      <x:c r="K82" s="160" t="str">
        <x:v>Bưu điện xã Bình Điền</x:v>
      </x:c>
    </x:row>
    <x:row r="83">
      <x:c r="A83" s="158" t="n">
        <x:v>79</x:v>
      </x:c>
      <x:c r="B83" s="159" t="str">
        <x:v>535511</x:v>
      </x:c>
      <x:c r="C83" s="159" t="str">
        <x:v>Hương Chữ</x:v>
      </x:c>
      <x:c r="D83" s="159" t="str">
        <x:v>VHX</x:v>
      </x:c>
      <x:c r="E83" s="159" t="str">
        <x:v>Tam giác</x:v>
      </x:c>
      <x:c r="F83" s="181" t="str">
        <x:v>Thôn La Chữ</x:v>
      </x:c>
      <x:c r="G83" s="181" t="str">
        <x:v>Phường Kim Trà</x:v>
      </x:c>
      <x:c r="H83" s="159" t="str">
        <x:v>Hoạt động</x:v>
      </x:c>
      <x:c r="I83" s="187" t="n">
        <x:v>107.5180482</x:v>
      </x:c>
      <x:c r="J83" s="187" t="n">
        <x:v>16.48604875</x:v>
      </x:c>
      <x:c r="K83" s="160" t="str">
        <x:v>Bưu điện phường Kim Trà</x:v>
      </x:c>
    </x:row>
    <x:row r="84">
      <x:c r="A84" s="158" t="n">
        <x:v>80</x:v>
      </x:c>
      <x:c r="B84" s="159" t="str">
        <x:v>535530</x:v>
      </x:c>
      <x:c r="C84" s="159" t="str">
        <x:v>Hương An</x:v>
      </x:c>
      <x:c r="D84" s="159" t="str">
        <x:v>VHX</x:v>
      </x:c>
      <x:c r="E84" s="159" t="str">
        <x:v>Tam giác</x:v>
      </x:c>
      <x:c r="F84" s="181" t="str">
        <x:v>Thôn Bồn Phổ</x:v>
      </x:c>
      <x:c r="G84" s="181" t="str">
        <x:v>Phường Hương An</x:v>
      </x:c>
      <x:c r="H84" s="159" t="str">
        <x:v>Hoạt động</x:v>
      </x:c>
      <x:c r="I84" s="187" t="n">
        <x:v>107.5200644</x:v>
      </x:c>
      <x:c r="J84" s="187" t="n">
        <x:v>16.46613132</x:v>
      </x:c>
      <x:c r="K84" s="160" t="str">
        <x:v>Bưu điện phường Hương An</x:v>
      </x:c>
    </x:row>
    <x:row r="85">
      <x:c r="A85" s="158" t="n">
        <x:v>81</x:v>
      </x:c>
      <x:c r="B85" s="159" t="str">
        <x:v>535550</x:v>
      </x:c>
      <x:c r="C85" s="159" t="str">
        <x:v>Hương Hồ</x:v>
      </x:c>
      <x:c r="D85" s="159" t="str">
        <x:v>VHX</x:v>
      </x:c>
      <x:c r="E85" s="159" t="str">
        <x:v>Tam giác</x:v>
      </x:c>
      <x:c r="F85" s="181" t="str">
        <x:v>Thôn Long Hồ Hạ</x:v>
      </x:c>
      <x:c r="G85" s="181" t="str">
        <x:v>Phường Kim Long</x:v>
      </x:c>
      <x:c r="H85" s="159" t="str">
        <x:v>Hoạt động</x:v>
      </x:c>
      <x:c r="I85" s="187" t="n">
        <x:v>107.5326741</x:v>
      </x:c>
      <x:c r="J85" s="187" t="n">
        <x:v>16.44973928</x:v>
      </x:c>
      <x:c r="K85" s="160" t="str">
        <x:v>Bưu điện phường Kim Long</x:v>
      </x:c>
    </x:row>
    <x:row r="86">
      <x:c r="A86" s="158" t="n">
        <x:v>82</x:v>
      </x:c>
      <x:c r="B86" s="159" t="str">
        <x:v>535570</x:v>
      </x:c>
      <x:c r="C86" s="159" t="str">
        <x:v>Hương Thọ</x:v>
      </x:c>
      <x:c r="D86" s="159" t="str">
        <x:v>VHX</x:v>
      </x:c>
      <x:c r="E86" s="159" t="str">
        <x:v>Tam giác</x:v>
      </x:c>
      <x:c r="F86" s="181" t="str">
        <x:v>Thôn Liên Bằng</x:v>
      </x:c>
      <x:c r="G86" s="181" t="str">
        <x:v>Phường Kim Long</x:v>
      </x:c>
      <x:c r="H86" s="159" t="str">
        <x:v>Hoạt động</x:v>
      </x:c>
      <x:c r="I86" s="187" t="n">
        <x:v>107.5676591</x:v>
      </x:c>
      <x:c r="J86" s="187" t="n">
        <x:v>16.38375672</x:v>
      </x:c>
      <x:c r="K86" s="160" t="str">
        <x:v>Bưu điện phường Kim Long</x:v>
      </x:c>
    </x:row>
    <x:row r="87">
      <x:c r="A87" s="158" t="n">
        <x:v>83</x:v>
      </x:c>
      <x:c r="B87" s="159" t="str">
        <x:v>535720</x:v>
      </x:c>
      <x:c r="C87" s="159" t="str">
        <x:v>Hồng Kim</x:v>
      </x:c>
      <x:c r="D87" s="159" t="str">
        <x:v>VHX</x:v>
      </x:c>
      <x:c r="E87" s="159" t="str">
        <x:v>Tam giác</x:v>
      </x:c>
      <x:c r="F87" s="181" t="str">
        <x:v>Thôn 5</x:v>
      </x:c>
      <x:c r="G87" s="181" t="str">
        <x:v>Xã A Lưới 1</x:v>
      </x:c>
      <x:c r="H87" s="159" t="str">
        <x:v>Hoạt động</x:v>
      </x:c>
      <x:c r="I87" s="187" t="n">
        <x:v>107.2117527</x:v>
      </x:c>
      <x:c r="J87" s="187" t="n">
        <x:v>16.29766267</x:v>
      </x:c>
      <x:c r="K87" s="160" t="str">
        <x:v>Bưu điện xã A Lưới 2</x:v>
      </x:c>
    </x:row>
    <x:row r="88">
      <x:c r="A88" s="158" t="n">
        <x:v>84</x:v>
      </x:c>
      <x:c r="B88" s="159" t="str">
        <x:v>535740</x:v>
      </x:c>
      <x:c r="C88" s="159" t="str">
        <x:v>Hồng Trung</x:v>
      </x:c>
      <x:c r="D88" s="159" t="str">
        <x:v>VHX</x:v>
      </x:c>
      <x:c r="E88" s="159" t="str">
        <x:v>Tam giác</x:v>
      </x:c>
      <x:c r="F88" s="181" t="str">
        <x:v>Thôn 1</x:v>
      </x:c>
      <x:c r="G88" s="181" t="str">
        <x:v>Xã A Lưới 1</x:v>
      </x:c>
      <x:c r="H88" s="159" t="str">
        <x:v>Hoạt động</x:v>
      </x:c>
      <x:c r="I88" s="187" t="n">
        <x:v>107.17007</x:v>
      </x:c>
      <x:c r="J88" s="187" t="n">
        <x:v>16.33095833</x:v>
      </x:c>
      <x:c r="K88" s="160" t="str">
        <x:v>Bưu điện xã A Lưới 2</x:v>
      </x:c>
    </x:row>
    <x:row r="89">
      <x:c r="A89" s="158" t="n">
        <x:v>85</x:v>
      </x:c>
      <x:c r="B89" s="159" t="str">
        <x:v>535750</x:v>
      </x:c>
      <x:c r="C89" s="159" t="str">
        <x:v>Hồng Vân</x:v>
      </x:c>
      <x:c r="D89" s="159" t="str">
        <x:v>VHX</x:v>
      </x:c>
      <x:c r="E89" s="159" t="str">
        <x:v>Tam giác</x:v>
      </x:c>
      <x:c r="F89" s="181" t="str">
        <x:v>Thôn A Năm</x:v>
      </x:c>
      <x:c r="G89" s="181" t="str">
        <x:v>Xã A Lưới 1</x:v>
      </x:c>
      <x:c r="H89" s="159" t="str">
        <x:v>Hoạt động</x:v>
      </x:c>
      <x:c r="I89" s="187" t="n">
        <x:v>107.1363303</x:v>
      </x:c>
      <x:c r="J89" s="187" t="n">
        <x:v>16.35386542</x:v>
      </x:c>
      <x:c r="K89" s="160" t="str">
        <x:v>Bưu điện xã A Lưới 2</x:v>
      </x:c>
    </x:row>
    <x:row r="90">
      <x:c r="A90" s="158" t="n">
        <x:v>86</x:v>
      </x:c>
      <x:c r="B90" s="159" t="str">
        <x:v>535760</x:v>
      </x:c>
      <x:c r="C90" s="159" t="str">
        <x:v>Hồng Bắc</x:v>
      </x:c>
      <x:c r="D90" s="159" t="str">
        <x:v>VHX</x:v>
      </x:c>
      <x:c r="E90" s="159" t="str">
        <x:v>Tam giác</x:v>
      </x:c>
      <x:c r="F90" s="181" t="str">
        <x:v>Thôn A Ninh</x:v>
      </x:c>
      <x:c r="G90" s="181" t="str">
        <x:v>Xã A Lưới 2</x:v>
      </x:c>
      <x:c r="H90" s="159" t="str">
        <x:v>Hoạt động</x:v>
      </x:c>
      <x:c r="I90" s="187" t="n">
        <x:v>107.2047248</x:v>
      </x:c>
      <x:c r="J90" s="187" t="n">
        <x:v>16.27598238</x:v>
      </x:c>
      <x:c r="K90" s="160" t="str">
        <x:v>Bưu điện xã A Lưới 2</x:v>
      </x:c>
    </x:row>
    <x:row r="91">
      <x:c r="A91" s="158" t="n">
        <x:v>87</x:v>
      </x:c>
      <x:c r="B91" s="159" t="str">
        <x:v>535780</x:v>
      </x:c>
      <x:c r="C91" s="159" t="str">
        <x:v>Nhâm</x:v>
      </x:c>
      <x:c r="D91" s="159" t="str">
        <x:v>VHX</x:v>
      </x:c>
      <x:c r="E91" s="159" t="str">
        <x:v>Tam giác</x:v>
      </x:c>
      <x:c r="F91" s="181" t="str">
        <x:v>Thôn 1</x:v>
      </x:c>
      <x:c r="G91" s="181" t="str">
        <x:v>Xã A Lưới 2</x:v>
      </x:c>
      <x:c r="H91" s="159" t="str">
        <x:v>Hoạt động</x:v>
      </x:c>
      <x:c r="I91" s="187" t="n">
        <x:v>107.2146602</x:v>
      </x:c>
      <x:c r="J91" s="187" t="n">
        <x:v>16.24270065</x:v>
      </x:c>
      <x:c r="K91" s="160" t="str">
        <x:v>Bưu điện xã A Lưới 2</x:v>
      </x:c>
    </x:row>
    <x:row r="92">
      <x:c r="A92" s="158" t="n">
        <x:v>88</x:v>
      </x:c>
      <x:c r="B92" s="159" t="str">
        <x:v>535800</x:v>
      </x:c>
      <x:c r="C92" s="159" t="str">
        <x:v>Hồng Thái</x:v>
      </x:c>
      <x:c r="D92" s="159" t="str">
        <x:v>VHX</x:v>
      </x:c>
      <x:c r="E92" s="159" t="str">
        <x:v>Tam giác</x:v>
      </x:c>
      <x:c r="F92" s="181" t="str">
        <x:v>Thôn A Vinh</x:v>
      </x:c>
      <x:c r="G92" s="181" t="str">
        <x:v>Xã A Lưới 3</x:v>
      </x:c>
      <x:c r="H92" s="159" t="str">
        <x:v>Hoạt động</x:v>
      </x:c>
      <x:c r="I92" s="187" t="n">
        <x:v>107.2393566</x:v>
      </x:c>
      <x:c r="J92" s="187" t="n">
        <x:v>16.2355481</x:v>
      </x:c>
      <x:c r="K92" s="160" t="str">
        <x:v>Bưu điện xã A Lưới 3</x:v>
      </x:c>
    </x:row>
    <x:row r="93">
      <x:c r="A93" s="158" t="n">
        <x:v>89</x:v>
      </x:c>
      <x:c r="B93" s="159" t="str">
        <x:v>535820</x:v>
      </x:c>
      <x:c r="C93" s="159" t="str">
        <x:v>Hồng Thượng</x:v>
      </x:c>
      <x:c r="D93" s="159" t="str">
        <x:v>VHX</x:v>
      </x:c>
      <x:c r="E93" s="159" t="str">
        <x:v>Tam giác</x:v>
      </x:c>
      <x:c r="F93" s="181" t="str">
        <x:v>Thôn Hợp Thượng</x:v>
      </x:c>
      <x:c r="G93" s="181" t="str">
        <x:v>Xã A Lưới 3</x:v>
      </x:c>
      <x:c r="H93" s="159" t="str">
        <x:v>Hoạt động</x:v>
      </x:c>
      <x:c r="I93" s="187" t="n">
        <x:v>107.2621004</x:v>
      </x:c>
      <x:c r="J93" s="187" t="n">
        <x:v>16.2300846</x:v>
      </x:c>
      <x:c r="K93" s="160" t="str">
        <x:v>Bưu điện xã A Lưới 3</x:v>
      </x:c>
    </x:row>
    <x:row r="94">
      <x:c r="A94" s="158" t="n">
        <x:v>90</x:v>
      </x:c>
      <x:c r="B94" s="159" t="str">
        <x:v>535840</x:v>
      </x:c>
      <x:c r="C94" s="159" t="str">
        <x:v>Đông Sơn</x:v>
      </x:c>
      <x:c r="D94" s="159" t="str">
        <x:v>VHX</x:v>
      </x:c>
      <x:c r="E94" s="159" t="str">
        <x:v>Tam giác</x:v>
      </x:c>
      <x:c r="F94" s="181" t="str">
        <x:v>Thôn Loa</x:v>
      </x:c>
      <x:c r="G94" s="181" t="str">
        <x:v>Xã A Lưới 4</x:v>
      </x:c>
      <x:c r="H94" s="159" t="str">
        <x:v>Hoạt động</x:v>
      </x:c>
      <x:c r="I94" s="187" t="n">
        <x:v>107.3268715</x:v>
      </x:c>
      <x:c r="J94" s="187" t="n">
        <x:v>16.11279518</x:v>
      </x:c>
      <x:c r="K94" s="160" t="str">
        <x:v>Bưu điện xã A Lưới 3</x:v>
      </x:c>
    </x:row>
    <x:row r="95">
      <x:c r="A95" s="158" t="n">
        <x:v>91</x:v>
      </x:c>
      <x:c r="B95" s="159" t="str">
        <x:v>535870</x:v>
      </x:c>
      <x:c r="C95" s="159" t="str">
        <x:v>A Ngo</x:v>
      </x:c>
      <x:c r="D95" s="159" t="str">
        <x:v>VHX</x:v>
      </x:c>
      <x:c r="E95" s="159" t="str">
        <x:v>Tam giác</x:v>
      </x:c>
      <x:c r="F95" s="181" t="str">
        <x:v>Thôn Quảng Mai</x:v>
      </x:c>
      <x:c r="G95" s="181" t="str">
        <x:v>Xã A Lưới 2</x:v>
      </x:c>
      <x:c r="H95" s="159" t="str">
        <x:v>Hoạt động</x:v>
      </x:c>
      <x:c r="I95" s="187" t="n">
        <x:v>107.2420508</x:v>
      </x:c>
      <x:c r="J95" s="187" t="n">
        <x:v>16.25947312</x:v>
      </x:c>
      <x:c r="K95" s="160" t="str">
        <x:v>Bưu điện xã A Lưới 2</x:v>
      </x:c>
    </x:row>
    <x:row r="96">
      <x:c r="A96" s="158" t="n">
        <x:v>92</x:v>
      </x:c>
      <x:c r="B96" s="159" t="str">
        <x:v>535890</x:v>
      </x:c>
      <x:c r="C96" s="159" t="str">
        <x:v>Sơn Thủy</x:v>
      </x:c>
      <x:c r="D96" s="159" t="str">
        <x:v>VHX</x:v>
      </x:c>
      <x:c r="E96" s="159" t="str">
        <x:v>Tam giác</x:v>
      </x:c>
      <x:c r="F96" s="181" t="str">
        <x:v>Thôn Quảng Thọ</x:v>
      </x:c>
      <x:c r="G96" s="181" t="str">
        <x:v>Xã A Lưới 3</x:v>
      </x:c>
      <x:c r="H96" s="159" t="str">
        <x:v>Hoạt động</x:v>
      </x:c>
      <x:c r="I96" s="187" t="n">
        <x:v>107.255084</x:v>
      </x:c>
      <x:c r="J96" s="187" t="n">
        <x:v>16.24818377</x:v>
      </x:c>
      <x:c r="K96" s="160" t="str">
        <x:v>Bưu điện xã A Lưới 3</x:v>
      </x:c>
    </x:row>
    <x:row r="97">
      <x:c r="A97" s="158" t="n">
        <x:v>93</x:v>
      </x:c>
      <x:c r="B97" s="159" t="str">
        <x:v>535911</x:v>
      </x:c>
      <x:c r="C97" s="159" t="str">
        <x:v>Phú Vinh</x:v>
      </x:c>
      <x:c r="D97" s="159" t="str">
        <x:v>VHX</x:v>
      </x:c>
      <x:c r="E97" s="159" t="str">
        <x:v>Tam giác</x:v>
      </x:c>
      <x:c r="F97" s="181" t="str">
        <x:v>Thôn Phú Thuận</x:v>
      </x:c>
      <x:c r="G97" s="181" t="str">
        <x:v>Xã A Lưới 3</x:v>
      </x:c>
      <x:c r="H97" s="159" t="str">
        <x:v>Hoạt động</x:v>
      </x:c>
      <x:c r="I97" s="187" t="n">
        <x:v>107.2762504</x:v>
      </x:c>
      <x:c r="J97" s="187" t="n">
        <x:v>16.22333073</x:v>
      </x:c>
      <x:c r="K97" s="160" t="str">
        <x:v>Bưu điện xã A Lưới 3</x:v>
      </x:c>
    </x:row>
    <x:row r="98">
      <x:c r="A98" s="158" t="n">
        <x:v>94</x:v>
      </x:c>
      <x:c r="B98" s="159" t="str">
        <x:v>535920</x:v>
      </x:c>
      <x:c r="C98" s="159" t="str">
        <x:v>Hương Phong</x:v>
      </x:c>
      <x:c r="D98" s="159" t="str">
        <x:v>VHX</x:v>
      </x:c>
      <x:c r="E98" s="159" t="str">
        <x:v>Tam giác</x:v>
      </x:c>
      <x:c r="F98" s="181" t="str">
        <x:v>Thôn Hương Phú</x:v>
      </x:c>
      <x:c r="G98" s="181" t="str">
        <x:v>Xã A Lưới 4</x:v>
      </x:c>
      <x:c r="H98" s="159" t="str">
        <x:v>Hoạt động</x:v>
      </x:c>
      <x:c r="I98" s="187" t="n">
        <x:v>107.3084959</x:v>
      </x:c>
      <x:c r="J98" s="187" t="n">
        <x:v>16.17967533</x:v>
      </x:c>
      <x:c r="K98" s="160" t="str">
        <x:v>Bưu điện xã A Lưới 3</x:v>
      </x:c>
    </x:row>
    <x:row r="99">
      <x:c r="A99" s="158" t="n">
        <x:v>95</x:v>
      </x:c>
      <x:c r="B99" s="159" t="str">
        <x:v>535930</x:v>
      </x:c>
      <x:c r="C99" s="159" t="str">
        <x:v>Hương Lâm</x:v>
      </x:c>
      <x:c r="D99" s="159" t="str">
        <x:v>VHX</x:v>
      </x:c>
      <x:c r="E99" s="159" t="str">
        <x:v>Tam giác</x:v>
      </x:c>
      <x:c r="F99" s="181" t="str">
        <x:v>Thôn A Đớt</x:v>
      </x:c>
      <x:c r="G99" s="181" t="str">
        <x:v>Xã A Lưới 4</x:v>
      </x:c>
      <x:c r="H99" s="159" t="str">
        <x:v>Hoạt động</x:v>
      </x:c>
      <x:c r="I99" s="187" t="n">
        <x:v>107.3501063</x:v>
      </x:c>
      <x:c r="J99" s="187" t="n">
        <x:v>16.11205669</x:v>
      </x:c>
      <x:c r="K99" s="160" t="str">
        <x:v>Bưu điện xã A Lưới 3</x:v>
      </x:c>
    </x:row>
    <x:row r="100">
      <x:c r="A100" s="158" t="n">
        <x:v>96</x:v>
      </x:c>
      <x:c r="B100" s="159" t="str">
        <x:v>535950</x:v>
      </x:c>
      <x:c r="C100" s="159" t="str">
        <x:v>A Roàng</x:v>
      </x:c>
      <x:c r="D100" s="159" t="str">
        <x:v>VHX</x:v>
      </x:c>
      <x:c r="E100" s="159" t="str">
        <x:v>Tam giác</x:v>
      </x:c>
      <x:c r="F100" s="181" t="str">
        <x:v>Thôn A Roàng 1</x:v>
      </x:c>
      <x:c r="G100" s="181" t="str">
        <x:v>Xã A Lưới 4</x:v>
      </x:c>
      <x:c r="H100" s="159" t="str">
        <x:v>Hoạt động</x:v>
      </x:c>
      <x:c r="I100" s="187" t="n">
        <x:v>107.3977968</x:v>
      </x:c>
      <x:c r="J100" s="187" t="n">
        <x:v>16.11352999</x:v>
      </x:c>
      <x:c r="K100" s="160" t="str">
        <x:v>Bưu điện xã A Lưới 3</x:v>
      </x:c>
    </x:row>
    <x:row r="101">
      <x:c r="A101" s="158" t="n">
        <x:v>97</x:v>
      </x:c>
      <x:c r="B101" s="159" t="str">
        <x:v>535970</x:v>
      </x:c>
      <x:c r="C101" s="159" t="str">
        <x:v>Hồng Hạ</x:v>
      </x:c>
      <x:c r="D101" s="159" t="str">
        <x:v>VHX</x:v>
      </x:c>
      <x:c r="E101" s="159" t="str">
        <x:v>Tam giác</x:v>
      </x:c>
      <x:c r="F101" s="181" t="str">
        <x:v>Thôn Pa Ring</x:v>
      </x:c>
      <x:c r="G101" s="181" t="str">
        <x:v>Xã A Lưới 5</x:v>
      </x:c>
      <x:c r="H101" s="159" t="str">
        <x:v>Hoạt động</x:v>
      </x:c>
      <x:c r="I101" s="187" t="n">
        <x:v>107.335912</x:v>
      </x:c>
      <x:c r="J101" s="187" t="n">
        <x:v>16.30102177</x:v>
      </x:c>
      <x:c r="K101" s="160" t="str">
        <x:v>Bưu điện xã A Lưới 3</x:v>
      </x:c>
    </x:row>
    <x:row r="102">
      <x:c r="A102" s="158" t="n">
        <x:v>98</x:v>
      </x:c>
      <x:c r="B102" s="159" t="str">
        <x:v>535980</x:v>
      </x:c>
      <x:c r="C102" s="159" t="str">
        <x:v>Hương Nguyên</x:v>
      </x:c>
      <x:c r="D102" s="159" t="str">
        <x:v>VHX</x:v>
      </x:c>
      <x:c r="E102" s="159" t="str">
        <x:v>Tam giác</x:v>
      </x:c>
      <x:c r="F102" s="181" t="str">
        <x:v>Thôn Nghĩa</x:v>
      </x:c>
      <x:c r="G102" s="181" t="str">
        <x:v>Xã A Lưới 5</x:v>
      </x:c>
      <x:c r="H102" s="159" t="str">
        <x:v>Hoạt động</x:v>
      </x:c>
      <x:c r="I102" s="187" t="n">
        <x:v>107.3866645</x:v>
      </x:c>
      <x:c r="J102" s="187" t="n">
        <x:v>16.30476579</x:v>
      </x:c>
      <x:c r="K102" s="160" t="str">
        <x:v>Bưu điện xã A Lưới 3</x:v>
      </x:c>
    </x:row>
    <x:row r="103">
      <x:c r="A103" s="158" t="n">
        <x:v>99</x:v>
      </x:c>
      <x:c r="B103" s="159" t="str">
        <x:v>535990</x:v>
      </x:c>
      <x:c r="C103" s="159" t="str">
        <x:v>Hồng Thủy</x:v>
      </x:c>
      <x:c r="D103" s="159" t="str">
        <x:v>VHX</x:v>
      </x:c>
      <x:c r="E103" s="159" t="str">
        <x:v>Tam giác</x:v>
      </x:c>
      <x:c r="F103" s="181" t="str">
        <x:v>Thôn 2</x:v>
      </x:c>
      <x:c r="G103" s="181" t="str">
        <x:v>Xã A Lưới 1</x:v>
      </x:c>
      <x:c r="H103" s="159" t="str">
        <x:v>Hoạt động</x:v>
      </x:c>
      <x:c r="I103" s="187" t="n">
        <x:v>107.0496051</x:v>
      </x:c>
      <x:c r="J103" s="187" t="n">
        <x:v>16.3811421</x:v>
      </x:c>
      <x:c r="K103" s="160" t="str">
        <x:v>Bưu điện xã A Lưới 2</x:v>
      </x:c>
    </x:row>
    <x:row r="104">
      <x:c r="A104" s="158" t="n">
        <x:v>100</x:v>
      </x:c>
      <x:c r="B104" s="159" t="str">
        <x:v>536140</x:v>
      </x:c>
      <x:c r="C104" s="159" t="str">
        <x:v>Thủy Tân</x:v>
      </x:c>
      <x:c r="D104" s="159" t="str">
        <x:v>VHX</x:v>
      </x:c>
      <x:c r="E104" s="159" t="str">
        <x:v>Tam giác</x:v>
      </x:c>
      <x:c r="F104" s="181" t="str">
        <x:v>Thôn Tân Tô</x:v>
      </x:c>
      <x:c r="G104" s="181" t="str">
        <x:v>Phường Hương Thủy</x:v>
      </x:c>
      <x:c r="H104" s="159" t="str">
        <x:v>Hoạt động</x:v>
      </x:c>
      <x:c r="I104" s="187" t="n">
        <x:v>107.7146575</x:v>
      </x:c>
      <x:c r="J104" s="187" t="n">
        <x:v>16.40460438</x:v>
      </x:c>
      <x:c r="K104" s="160" t="str">
        <x:v>Bưu điện phường Hương Thủy</x:v>
      </x:c>
    </x:row>
    <x:row r="105">
      <x:c r="A105" s="158" t="n">
        <x:v>101</x:v>
      </x:c>
      <x:c r="B105" s="159" t="str">
        <x:v>536150</x:v>
      </x:c>
      <x:c r="C105" s="159" t="str">
        <x:v>Thủy Lương</x:v>
      </x:c>
      <x:c r="D105" s="159" t="str">
        <x:v>VHX</x:v>
      </x:c>
      <x:c r="E105" s="159" t="str">
        <x:v>Tam giác</x:v>
      </x:c>
      <x:c r="F105" s="181" t="str">
        <x:v>Tổ 6, Khu Lương Đông</x:v>
      </x:c>
      <x:c r="G105" s="181" t="str">
        <x:v>Phường Hương Thủy</x:v>
      </x:c>
      <x:c r="H105" s="159" t="str">
        <x:v>Hoạt động</x:v>
      </x:c>
      <x:c r="I105" s="187" t="n">
        <x:v>107.695935</x:v>
      </x:c>
      <x:c r="J105" s="187" t="n">
        <x:v>16.41764056</x:v>
      </x:c>
      <x:c r="K105" s="160" t="str">
        <x:v>Bưu điện phường Hương Thủy</x:v>
      </x:c>
    </x:row>
    <x:row r="106">
      <x:c r="A106" s="158" t="n">
        <x:v>102</x:v>
      </x:c>
      <x:c r="B106" s="159" t="str">
        <x:v>536161</x:v>
      </x:c>
      <x:c r="C106" s="159" t="str">
        <x:v>Thủy Châu</x:v>
      </x:c>
      <x:c r="D106" s="159" t="str">
        <x:v>VHX</x:v>
      </x:c>
      <x:c r="E106" s="159" t="str">
        <x:v>Tam giác</x:v>
      </x:c>
      <x:c r="F106" s="181" t="str">
        <x:v>Tổ 11, Xóm Phù Nam I</x:v>
      </x:c>
      <x:c r="G106" s="181" t="str">
        <x:v>Phường Hương Thủy</x:v>
      </x:c>
      <x:c r="H106" s="159" t="str">
        <x:v>Hoạt động</x:v>
      </x:c>
      <x:c r="I106" s="187" t="n">
        <x:v>107.6676982</x:v>
      </x:c>
      <x:c r="J106" s="187" t="n">
        <x:v>16.42006199</x:v>
      </x:c>
      <x:c r="K106" s="160" t="str">
        <x:v>Bưu điện phường Hương Thủy</x:v>
      </x:c>
    </x:row>
    <x:row r="107">
      <x:c r="A107" s="158" t="n">
        <x:v>103</x:v>
      </x:c>
      <x:c r="B107" s="159" t="str">
        <x:v>536180</x:v>
      </x:c>
      <x:c r="C107" s="159" t="str">
        <x:v>Thủy Thanh</x:v>
      </x:c>
      <x:c r="D107" s="159" t="str">
        <x:v>VHX</x:v>
      </x:c>
      <x:c r="E107" s="159" t="str">
        <x:v>Tam giác</x:v>
      </x:c>
      <x:c r="F107" s="181" t="str">
        <x:v>Thôn Thanh Thủy Chánh</x:v>
      </x:c>
      <x:c r="G107" s="181" t="str">
        <x:v>Phường Thanh Thủy</x:v>
      </x:c>
      <x:c r="H107" s="159" t="str">
        <x:v>Hoạt động</x:v>
      </x:c>
      <x:c r="I107" s="187" t="n">
        <x:v>107.643587</x:v>
      </x:c>
      <x:c r="J107" s="187" t="n">
        <x:v>16.46609488</x:v>
      </x:c>
      <x:c r="K107" s="160" t="str">
        <x:v>Bưu điện phường Thanh Thủy</x:v>
      </x:c>
    </x:row>
    <x:row r="108">
      <x:c r="A108" s="158" t="n">
        <x:v>104</x:v>
      </x:c>
      <x:c r="B108" s="159" t="str">
        <x:v>536190</x:v>
      </x:c>
      <x:c r="C108" s="159" t="str">
        <x:v>Thủy Vân</x:v>
      </x:c>
      <x:c r="D108" s="159" t="str">
        <x:v>VHX</x:v>
      </x:c>
      <x:c r="E108" s="159" t="str">
        <x:v>Tam giác</x:v>
      </x:c>
      <x:c r="F108" s="181" t="str">
        <x:v>Thôn Xuân Hòa</x:v>
      </x:c>
      <x:c r="G108" s="181" t="str">
        <x:v>Phường Vỹ Dạ</x:v>
      </x:c>
      <x:c r="H108" s="159" t="str">
        <x:v>Hoạt động</x:v>
      </x:c>
      <x:c r="I108" s="187" t="n">
        <x:v>107.605902</x:v>
      </x:c>
      <x:c r="J108" s="187" t="n">
        <x:v>16.48335742</x:v>
      </x:c>
      <x:c r="K108" s="160" t="str">
        <x:v>Bưu điện phường Vỹ Dạ</x:v>
      </x:c>
    </x:row>
    <x:row r="109">
      <x:c r="A109" s="158" t="n">
        <x:v>105</x:v>
      </x:c>
      <x:c r="B109" s="159" t="str">
        <x:v>536210</x:v>
      </x:c>
      <x:c r="C109" s="159" t="str">
        <x:v>Thủy Phương</x:v>
      </x:c>
      <x:c r="D109" s="159" t="str">
        <x:v>VHX</x:v>
      </x:c>
      <x:c r="E109" s="159" t="str">
        <x:v>Tam giác</x:v>
      </x:c>
      <x:c r="F109" s="181" t="str">
        <x:v>Tổ 3</x:v>
      </x:c>
      <x:c r="G109" s="181" t="str">
        <x:v>Phường Thanh Thủy</x:v>
      </x:c>
      <x:c r="H109" s="159" t="str">
        <x:v>Hoạt động</x:v>
      </x:c>
      <x:c r="I109" s="187" t="n">
        <x:v>107.6356419</x:v>
      </x:c>
      <x:c r="J109" s="187" t="n">
        <x:v>16.43252764</x:v>
      </x:c>
      <x:c r="K109" s="160" t="str">
        <x:v>Bưu điện phường Thanh Thủy</x:v>
      </x:c>
    </x:row>
    <x:row r="110">
      <x:c r="A110" s="158" t="n">
        <x:v>106</x:v>
      </x:c>
      <x:c r="B110" s="159" t="str">
        <x:v>536231</x:v>
      </x:c>
      <x:c r="C110" s="159" t="str">
        <x:v>Thủy Bằng</x:v>
      </x:c>
      <x:c r="D110" s="159" t="str">
        <x:v>VHX</x:v>
      </x:c>
      <x:c r="E110" s="159" t="str">
        <x:v>Tam giác</x:v>
      </x:c>
      <x:c r="F110" s="181" t="str">
        <x:v>Thôn Bằng Lãng</x:v>
      </x:c>
      <x:c r="G110" s="181" t="str">
        <x:v>Phường Thủy Xuân</x:v>
      </x:c>
      <x:c r="H110" s="159" t="str">
        <x:v>Hoạt động</x:v>
      </x:c>
      <x:c r="I110" s="187" t="n">
        <x:v>107.5803352</x:v>
      </x:c>
      <x:c r="J110" s="187" t="n">
        <x:v>16.3945898</x:v>
      </x:c>
      <x:c r="K110" s="160" t="str">
        <x:v>Bưu điện phường Thủy Xuân</x:v>
      </x:c>
    </x:row>
    <x:row r="111">
      <x:c r="A111" s="158" t="n">
        <x:v>107</x:v>
      </x:c>
      <x:c r="B111" s="159" t="str">
        <x:v>536260</x:v>
      </x:c>
      <x:c r="C111" s="159" t="str">
        <x:v>Dương Hòa</x:v>
      </x:c>
      <x:c r="D111" s="159" t="str">
        <x:v>VHX</x:v>
      </x:c>
      <x:c r="E111" s="159" t="str">
        <x:v>Tam giác</x:v>
      </x:c>
      <x:c r="F111" s="181" t="str">
        <x:v>Thôn 5 Lương Miêu</x:v>
      </x:c>
      <x:c r="G111" s="181" t="str">
        <x:v>Phường Phú Bài</x:v>
      </x:c>
      <x:c r="H111" s="159" t="str">
        <x:v>Hoạt động</x:v>
      </x:c>
      <x:c r="I111" s="187" t="n">
        <x:v>107.6236756</x:v>
      </x:c>
      <x:c r="J111" s="187" t="n">
        <x:v>16.32731524</x:v>
      </x:c>
      <x:c r="K111" s="160" t="str">
        <x:v>Bưu điện phường Phú Bài</x:v>
      </x:c>
    </x:row>
    <x:row r="112">
      <x:c r="A112" s="158" t="n">
        <x:v>108</x:v>
      </x:c>
      <x:c r="B112" s="159" t="str">
        <x:v>536270</x:v>
      </x:c>
      <x:c r="C112" s="159" t="str">
        <x:v>Phú Sơn</x:v>
      </x:c>
      <x:c r="D112" s="159" t="str">
        <x:v>VHX</x:v>
      </x:c>
      <x:c r="E112" s="159" t="str">
        <x:v>Tam giác</x:v>
      </x:c>
      <x:c r="F112" s="181" t="str">
        <x:v>Thôn 2</x:v>
      </x:c>
      <x:c r="G112" s="181" t="str">
        <x:v>Phường Phú Bài</x:v>
      </x:c>
      <x:c r="H112" s="159" t="str">
        <x:v>Hoạt động</x:v>
      </x:c>
      <x:c r="I112" s="187" t="n">
        <x:v>107.6701891</x:v>
      </x:c>
      <x:c r="J112" s="187" t="n">
        <x:v>16.33241897</x:v>
      </x:c>
      <x:c r="K112" s="160" t="str">
        <x:v>Bưu điện phường Phú Bài</x:v>
      </x:c>
    </x:row>
    <x:row r="113">
      <x:c r="A113" s="158" t="n">
        <x:v>109</x:v>
      </x:c>
      <x:c r="B113" s="159" t="str">
        <x:v>536280</x:v>
      </x:c>
      <x:c r="C113" s="159" t="str">
        <x:v>Thủy Phù</x:v>
      </x:c>
      <x:c r="D113" s="159" t="str">
        <x:v>VHX</x:v>
      </x:c>
      <x:c r="E113" s="159" t="str">
        <x:v>Tam giác</x:v>
      </x:c>
      <x:c r="F113" s="181" t="str">
        <x:v>Thôn 5</x:v>
      </x:c>
      <x:c r="G113" s="181" t="str">
        <x:v>Phường Phú Bài</x:v>
      </x:c>
      <x:c r="H113" s="159" t="str">
        <x:v>Hoạt động</x:v>
      </x:c>
      <x:c r="I113" s="187" t="n">
        <x:v>107.7183577</x:v>
      </x:c>
      <x:c r="J113" s="187" t="n">
        <x:v>16.3760167</x:v>
      </x:c>
      <x:c r="K113" s="160" t="str">
        <x:v>Bưu điện phường Phú Bài</x:v>
      </x:c>
    </x:row>
    <x:row r="114">
      <x:c r="A114" s="158" t="n">
        <x:v>110</x:v>
      </x:c>
      <x:c r="B114" s="159" t="str">
        <x:v>536420</x:v>
      </x:c>
      <x:c r="C114" s="159" t="str">
        <x:v>Hương Phú</x:v>
      </x:c>
      <x:c r="D114" s="159" t="str">
        <x:v>VHX</x:v>
      </x:c>
      <x:c r="E114" s="159" t="str">
        <x:v>Tam giác</x:v>
      </x:c>
      <x:c r="F114" s="181" t="str">
        <x:v>Thôn Hà An</x:v>
      </x:c>
      <x:c r="G114" s="181" t="str">
        <x:v>Xã Khe Tre</x:v>
      </x:c>
      <x:c r="H114" s="159" t="str">
        <x:v>Hoạt động</x:v>
      </x:c>
      <x:c r="I114" s="187" t="n">
        <x:v>107.7267984</x:v>
      </x:c>
      <x:c r="J114" s="187" t="n">
        <x:v>16.18724279</x:v>
      </x:c>
      <x:c r="K114" s="160" t="str">
        <x:v>Bưu điện xã Khe Tre</x:v>
      </x:c>
    </x:row>
    <x:row r="115">
      <x:c r="A115" s="158" t="n">
        <x:v>111</x:v>
      </x:c>
      <x:c r="B115" s="159" t="str">
        <x:v>536450</x:v>
      </x:c>
      <x:c r="C115" s="159" t="str">
        <x:v>Hương Sơn</x:v>
      </x:c>
      <x:c r="D115" s="159" t="str">
        <x:v>VHX</x:v>
      </x:c>
      <x:c r="E115" s="159" t="str">
        <x:v>Tam giác</x:v>
      </x:c>
      <x:c r="F115" s="181" t="str">
        <x:v>Thôn 3 (ka Chê)</x:v>
      </x:c>
      <x:c r="G115" s="181" t="str">
        <x:v>Xã Nam Đông</x:v>
      </x:c>
      <x:c r="H115" s="159" t="str">
        <x:v>Hoạt động</x:v>
      </x:c>
      <x:c r="I115" s="187" t="n">
        <x:v>107.682005</x:v>
      </x:c>
      <x:c r="J115" s="187" t="n">
        <x:v>16.17387193</x:v>
      </x:c>
      <x:c r="K115" s="160" t="str">
        <x:v>Bưu điện xã Nam Đông</x:v>
      </x:c>
    </x:row>
    <x:row r="116">
      <x:c r="A116" s="158" t="n">
        <x:v>112</x:v>
      </x:c>
      <x:c r="B116" s="159" t="str">
        <x:v>536470</x:v>
      </x:c>
      <x:c r="C116" s="159" t="str">
        <x:v>Hương Giang</x:v>
      </x:c>
      <x:c r="D116" s="159" t="str">
        <x:v>VHX</x:v>
      </x:c>
      <x:c r="E116" s="159" t="str">
        <x:v>Tam giác</x:v>
      </x:c>
      <x:c r="F116" s="181" t="str">
        <x:v>Thôn Thuận Hòa</x:v>
      </x:c>
      <x:c r="G116" s="181" t="str">
        <x:v>Xã Nam Đông</x:v>
      </x:c>
      <x:c r="H116" s="159" t="str">
        <x:v>Hoạt động</x:v>
      </x:c>
      <x:c r="I116" s="187" t="n">
        <x:v>107.6834012</x:v>
      </x:c>
      <x:c r="J116" s="187" t="n">
        <x:v>16.12983217</x:v>
      </x:c>
      <x:c r="K116" s="160" t="str">
        <x:v>Bưu điện xã Nam Đông</x:v>
      </x:c>
    </x:row>
    <x:row r="117">
      <x:c r="A117" s="158" t="n">
        <x:v>113</x:v>
      </x:c>
      <x:c r="B117" s="159" t="str">
        <x:v>536480</x:v>
      </x:c>
      <x:c r="C117" s="159" t="str">
        <x:v>Hương Hữu</x:v>
      </x:c>
      <x:c r="D117" s="159" t="str">
        <x:v>VHX</x:v>
      </x:c>
      <x:c r="E117" s="159" t="str">
        <x:v>Tam giác</x:v>
      </x:c>
      <x:c r="F117" s="181" t="str">
        <x:v>Thôn 3</x:v>
      </x:c>
      <x:c r="G117" s="181" t="str">
        <x:v>Xã Long Quảng</x:v>
      </x:c>
      <x:c r="H117" s="159" t="str">
        <x:v>Hoạt động</x:v>
      </x:c>
      <x:c r="I117" s="187" t="n">
        <x:v>107.6671086</x:v>
      </x:c>
      <x:c r="J117" s="187" t="n">
        <x:v>16.12671269</x:v>
      </x:c>
      <x:c r="K117" s="160" t="str">
        <x:v>Bưu điện xã Nam Đông</x:v>
      </x:c>
    </x:row>
    <x:row r="118">
      <x:c r="A118" s="158" t="n">
        <x:v>114</x:v>
      </x:c>
      <x:c r="B118" s="159" t="str">
        <x:v>536500</x:v>
      </x:c>
      <x:c r="C118" s="159" t="str">
        <x:v>Thượng Quảng</x:v>
      </x:c>
      <x:c r="D118" s="159" t="str">
        <x:v>VHX</x:v>
      </x:c>
      <x:c r="E118" s="159" t="str">
        <x:v>Tam giác</x:v>
      </x:c>
      <x:c r="F118" s="181" t="str">
        <x:v>Thôn 1</x:v>
      </x:c>
      <x:c r="G118" s="181" t="str">
        <x:v>Xã Long Quảng</x:v>
      </x:c>
      <x:c r="H118" s="159" t="str">
        <x:v>Hoạt động</x:v>
      </x:c>
      <x:c r="I118" s="187" t="n">
        <x:v>107.6299736</x:v>
      </x:c>
      <x:c r="J118" s="187" t="n">
        <x:v>16.12332603</x:v>
      </x:c>
      <x:c r="K118" s="160" t="str">
        <x:v>Bưu điện xã Nam Đông</x:v>
      </x:c>
    </x:row>
    <x:row r="119">
      <x:c r="A119" s="158" t="n">
        <x:v>115</x:v>
      </x:c>
      <x:c r="B119" s="159" t="str">
        <x:v>536520</x:v>
      </x:c>
      <x:c r="C119" s="159" t="str">
        <x:v>Thượng Long</x:v>
      </x:c>
      <x:c r="D119" s="159" t="str">
        <x:v>VHX</x:v>
      </x:c>
      <x:c r="E119" s="159" t="str">
        <x:v>Tam giác</x:v>
      </x:c>
      <x:c r="F119" s="181" t="str">
        <x:v>Ấp , Đội 6</x:v>
      </x:c>
      <x:c r="G119" s="181" t="str">
        <x:v>Xã Long Quảng</x:v>
      </x:c>
      <x:c r="H119" s="159" t="str">
        <x:v>Hoạt động</x:v>
      </x:c>
      <x:c r="I119" s="187" t="n">
        <x:v>107.6526126</x:v>
      </x:c>
      <x:c r="J119" s="187" t="n">
        <x:v>16.11423222</x:v>
      </x:c>
      <x:c r="K119" s="160" t="str">
        <x:v>Bưu điện xã Nam Đông</x:v>
      </x:c>
    </x:row>
    <x:row r="120">
      <x:c r="A120" s="158" t="n">
        <x:v>116</x:v>
      </x:c>
      <x:c r="B120" s="159" t="str">
        <x:v>536540</x:v>
      </x:c>
      <x:c r="C120" s="159" t="str">
        <x:v>Thượng Nhật</x:v>
      </x:c>
      <x:c r="D120" s="159" t="str">
        <x:v>VHX</x:v>
      </x:c>
      <x:c r="E120" s="159" t="str">
        <x:v>Tam giác</x:v>
      </x:c>
      <x:c r="F120" s="181" t="str">
        <x:v>Thôn A Tin</x:v>
      </x:c>
      <x:c r="G120" s="181" t="str">
        <x:v>Xã Nam Đông</x:v>
      </x:c>
      <x:c r="H120" s="159" t="str">
        <x:v>Hoạt động</x:v>
      </x:c>
      <x:c r="I120" s="187" t="n">
        <x:v>107.6843414</x:v>
      </x:c>
      <x:c r="J120" s="187" t="n">
        <x:v>16.12597414</x:v>
      </x:c>
      <x:c r="K120" s="160" t="str">
        <x:v>Bưu điện xã Nam Đông</x:v>
      </x:c>
    </x:row>
    <x:row r="121">
      <x:c r="A121" s="158" t="n">
        <x:v>117</x:v>
      </x:c>
      <x:c r="B121" s="159" t="str">
        <x:v>536560</x:v>
      </x:c>
      <x:c r="C121" s="159" t="str">
        <x:v>Thượng Lộ</x:v>
      </x:c>
      <x:c r="D121" s="159" t="str">
        <x:v>VHX</x:v>
      </x:c>
      <x:c r="E121" s="159" t="str">
        <x:v>Tam giác</x:v>
      </x:c>
      <x:c r="F121" s="181" t="str">
        <x:v>Thôn La Hố</x:v>
      </x:c>
      <x:c r="G121" s="181" t="str">
        <x:v>Xã Khe Tre</x:v>
      </x:c>
      <x:c r="H121" s="159" t="str">
        <x:v>Hoạt động</x:v>
      </x:c>
      <x:c r="I121" s="187" t="n">
        <x:v>107.7257511</x:v>
      </x:c>
      <x:c r="J121" s="187" t="n">
        <x:v>16.15031476</x:v>
      </x:c>
      <x:c r="K121" s="160" t="str">
        <x:v>Bưu điện xã Khe Tre</x:v>
      </x:c>
    </x:row>
    <x:row r="122">
      <x:c r="A122" s="158" t="n">
        <x:v>118</x:v>
      </x:c>
      <x:c r="B122" s="159" t="str">
        <x:v>536570</x:v>
      </x:c>
      <x:c r="C122" s="159" t="str">
        <x:v>Hương Lộc</x:v>
      </x:c>
      <x:c r="D122" s="159" t="str">
        <x:v>VHX</x:v>
      </x:c>
      <x:c r="E122" s="159" t="str">
        <x:v>Tam giác</x:v>
      </x:c>
      <x:c r="F122" s="181" t="str">
        <x:v>Thôn 2</x:v>
      </x:c>
      <x:c r="G122" s="181" t="str">
        <x:v>Xã Khe Tre</x:v>
      </x:c>
      <x:c r="H122" s="159" t="str">
        <x:v>Hoạt động</x:v>
      </x:c>
      <x:c r="I122" s="187" t="n">
        <x:v>107.7285975</x:v>
      </x:c>
      <x:c r="J122" s="187" t="n">
        <x:v>16.1558962</x:v>
      </x:c>
      <x:c r="K122" s="160" t="str">
        <x:v>Bưu điện xã Khe Tre</x:v>
      </x:c>
    </x:row>
    <x:row r="123">
      <x:c r="A123" s="158" t="n">
        <x:v>119</x:v>
      </x:c>
      <x:c r="B123" s="159" t="str">
        <x:v>536701</x:v>
      </x:c>
      <x:c r="C123" s="159" t="str">
        <x:v>Phú Dương</x:v>
      </x:c>
      <x:c r="D123" s="159" t="str">
        <x:v>VHX</x:v>
      </x:c>
      <x:c r="E123" s="159" t="str">
        <x:v>Tam giác</x:v>
      </x:c>
      <x:c r="F123" s="181" t="str">
        <x:v>Thôn Dương Nổ Tây</x:v>
      </x:c>
      <x:c r="G123" s="181" t="str">
        <x:v>Phường Dương Nỗ</x:v>
      </x:c>
      <x:c r="H123" s="159" t="str">
        <x:v>Hoạt động</x:v>
      </x:c>
      <x:c r="I123" s="187" t="n">
        <x:v>107.5999184</x:v>
      </x:c>
      <x:c r="J123" s="187" t="n">
        <x:v>16.51262086</x:v>
      </x:c>
      <x:c r="K123" s="160" t="str">
        <x:v>Bưu điện phường Dương Nỗ</x:v>
      </x:c>
    </x:row>
    <x:row r="124">
      <x:c r="A124" s="158" t="n">
        <x:v>120</x:v>
      </x:c>
      <x:c r="B124" s="159" t="str">
        <x:v>536720</x:v>
      </x:c>
      <x:c r="C124" s="159" t="str">
        <x:v>Phú An</x:v>
      </x:c>
      <x:c r="D124" s="159" t="str">
        <x:v>VHX</x:v>
      </x:c>
      <x:c r="E124" s="159" t="str">
        <x:v>Tam giác</x:v>
      </x:c>
      <x:c r="F124" s="181" t="str">
        <x:v>Thôn Truyền Nam</x:v>
      </x:c>
      <x:c r="G124" s="181" t="str">
        <x:v>Phường Mỹ Thượng</x:v>
      </x:c>
      <x:c r="H124" s="159" t="str">
        <x:v>Hoạt động</x:v>
      </x:c>
      <x:c r="I124" s="187" t="n">
        <x:v>107.6259293</x:v>
      </x:c>
      <x:c r="J124" s="187" t="n">
        <x:v>16.50441385</x:v>
      </x:c>
      <x:c r="K124" s="160" t="str">
        <x:v>Bưu điện phường Mỹ Thượng</x:v>
      </x:c>
    </x:row>
    <x:row r="125">
      <x:c r="A125" s="158" t="n">
        <x:v>121</x:v>
      </x:c>
      <x:c r="B125" s="159" t="str">
        <x:v>536740</x:v>
      </x:c>
      <x:c r="C125" s="159" t="str">
        <x:v>Phú Thuận</x:v>
      </x:c>
      <x:c r="D125" s="159" t="str">
        <x:v>VHX</x:v>
      </x:c>
      <x:c r="E125" s="159" t="str">
        <x:v>Tam giác</x:v>
      </x:c>
      <x:c r="F125" s="181" t="str">
        <x:v>Thôn An Dương</x:v>
      </x:c>
      <x:c r="G125" s="181" t="str">
        <x:v>Phường Thuận An</x:v>
      </x:c>
      <x:c r="H125" s="159" t="str">
        <x:v>Hoạt động</x:v>
      </x:c>
      <x:c r="I125" s="187" t="n">
        <x:v>107.6813725</x:v>
      </x:c>
      <x:c r="J125" s="187" t="n">
        <x:v>16.53870615</x:v>
      </x:c>
      <x:c r="K125" s="160" t="str">
        <x:v>Bưu điện phường Thuận An</x:v>
      </x:c>
    </x:row>
    <x:row r="126">
      <x:c r="A126" s="158" t="n">
        <x:v>122</x:v>
      </x:c>
      <x:c r="B126" s="159" t="str">
        <x:v>536751</x:v>
      </x:c>
      <x:c r="C126" s="159" t="str">
        <x:v>Làng Rồng</x:v>
      </x:c>
      <x:c r="D126" s="159" t="str">
        <x:v>VHX</x:v>
      </x:c>
      <x:c r="E126" s="159" t="str">
        <x:v>Tam giác</x:v>
      </x:c>
      <x:c r="F126" s="181" t="str">
        <x:v>Thôn An Hải</x:v>
      </x:c>
      <x:c r="G126" s="181" t="str">
        <x:v>Phường Thuận An</x:v>
      </x:c>
      <x:c r="H126" s="159" t="str">
        <x:v>Hoạt động</x:v>
      </x:c>
      <x:c r="I126" s="187" t="n">
        <x:v>107.6466447</x:v>
      </x:c>
      <x:c r="J126" s="187" t="n">
        <x:v>16.55891973</x:v>
      </x:c>
      <x:c r="K126" s="160" t="str">
        <x:v>Bưu điện phường Thuận An</x:v>
      </x:c>
    </x:row>
    <x:row r="127">
      <x:c r="A127" s="158" t="n">
        <x:v>123</x:v>
      </x:c>
      <x:c r="B127" s="159" t="str">
        <x:v>536780</x:v>
      </x:c>
      <x:c r="C127" s="159" t="str">
        <x:v>Phú Thanh</x:v>
      </x:c>
      <x:c r="D127" s="159" t="str">
        <x:v>VHX</x:v>
      </x:c>
      <x:c r="E127" s="159" t="str">
        <x:v>Tam giác</x:v>
      </x:c>
      <x:c r="F127" s="181" t="str">
        <x:v>Thôn Quy Lai</x:v>
      </x:c>
      <x:c r="G127" s="181" t="str">
        <x:v>Phường Dương Nỗ</x:v>
      </x:c>
      <x:c r="H127" s="159" t="str">
        <x:v>Hoạt động</x:v>
      </x:c>
      <x:c r="I127" s="187" t="n">
        <x:v>107.5979463</x:v>
      </x:c>
      <x:c r="J127" s="187" t="n">
        <x:v>16.54525817</x:v>
      </x:c>
      <x:c r="K127" s="160" t="str">
        <x:v>Bưu điện phường Dương Nỗ</x:v>
      </x:c>
    </x:row>
    <x:row r="128">
      <x:c r="A128" s="158" t="n">
        <x:v>124</x:v>
      </x:c>
      <x:c r="B128" s="159" t="str">
        <x:v>536790</x:v>
      </x:c>
      <x:c r="C128" s="159" t="str">
        <x:v>Phú Mậu</x:v>
      </x:c>
      <x:c r="D128" s="159" t="str">
        <x:v>VHX</x:v>
      </x:c>
      <x:c r="E128" s="159" t="str">
        <x:v>Tam giác</x:v>
      </x:c>
      <x:c r="F128" s="181" t="str">
        <x:v>Thôn Mậu Tài</x:v>
      </x:c>
      <x:c r="G128" s="181" t="str">
        <x:v>Phường Dương Nỗ</x:v>
      </x:c>
      <x:c r="H128" s="159" t="str">
        <x:v>Hoạt động</x:v>
      </x:c>
      <x:c r="I128" s="187" t="n">
        <x:v>107.5832509</x:v>
      </x:c>
      <x:c r="J128" s="187" t="n">
        <x:v>16.51744811</x:v>
      </x:c>
      <x:c r="K128" s="160" t="str">
        <x:v>Bưu điện phường Dương Nỗ</x:v>
      </x:c>
    </x:row>
    <x:row r="129">
      <x:c r="A129" s="158" t="n">
        <x:v>125</x:v>
      </x:c>
      <x:c r="B129" s="159" t="str">
        <x:v>536801</x:v>
      </x:c>
      <x:c r="C129" s="159" t="str">
        <x:v>Phú Thượng</x:v>
      </x:c>
      <x:c r="D129" s="159" t="str">
        <x:v>VHX</x:v>
      </x:c>
      <x:c r="E129" s="159" t="str">
        <x:v>Tam giác</x:v>
      </x:c>
      <x:c r="F129" s="181" t="str">
        <x:v>Thôn Ngọc Anh</x:v>
      </x:c>
      <x:c r="G129" s="181" t="str">
        <x:v>Phường Mỹ Thượng</x:v>
      </x:c>
      <x:c r="H129" s="159" t="str">
        <x:v>Hoạt động</x:v>
      </x:c>
      <x:c r="I129" s="187" t="n">
        <x:v>107.6019846</x:v>
      </x:c>
      <x:c r="J129" s="187" t="n">
        <x:v>16.48437335</x:v>
      </x:c>
      <x:c r="K129" s="160" t="str">
        <x:v>Bưu điện phường Mỹ Thượng</x:v>
      </x:c>
    </x:row>
    <x:row r="130">
      <x:c r="A130" s="158" t="n">
        <x:v>126</x:v>
      </x:c>
      <x:c r="B130" s="159" t="str">
        <x:v>536820</x:v>
      </x:c>
      <x:c r="C130" s="159" t="str">
        <x:v>Phú Mỹ</x:v>
      </x:c>
      <x:c r="D130" s="159" t="str">
        <x:v>VHX</x:v>
      </x:c>
      <x:c r="E130" s="159" t="str">
        <x:v>Tam giác</x:v>
      </x:c>
      <x:c r="F130" s="181" t="str">
        <x:v>Thôn Vinh Vệ</x:v>
      </x:c>
      <x:c r="G130" s="181" t="str">
        <x:v>Phường Mỹ Thượng</x:v>
      </x:c>
      <x:c r="H130" s="159" t="str">
        <x:v>Hoạt động</x:v>
      </x:c>
      <x:c r="I130" s="187" t="n">
        <x:v>107.6295376</x:v>
      </x:c>
      <x:c r="J130" s="187" t="n">
        <x:v>16.49475995</x:v>
      </x:c>
      <x:c r="K130" s="160" t="str">
        <x:v>Bưu điện phường Mỹ Thượng</x:v>
      </x:c>
    </x:row>
    <x:row r="131">
      <x:c r="A131" s="158" t="n">
        <x:v>127</x:v>
      </x:c>
      <x:c r="B131" s="159" t="str">
        <x:v>536830</x:v>
      </x:c>
      <x:c r="C131" s="159" t="str">
        <x:v>Phú Hồ</x:v>
      </x:c>
      <x:c r="D131" s="159" t="str">
        <x:v>VHX</x:v>
      </x:c>
      <x:c r="E131" s="159" t="str">
        <x:v>Tam giác</x:v>
      </x:c>
      <x:c r="F131" s="181" t="str">
        <x:v>Thôn Trung An</x:v>
      </x:c>
      <x:c r="G131" s="181" t="str">
        <x:v>Xã Phú Hồ</x:v>
      </x:c>
      <x:c r="H131" s="159" t="str">
        <x:v>Hoạt động</x:v>
      </x:c>
      <x:c r="I131" s="187" t="n">
        <x:v>107.6668753</x:v>
      </x:c>
      <x:c r="J131" s="187" t="n">
        <x:v>16.46827862</x:v>
      </x:c>
      <x:c r="K131" s="160" t="str">
        <x:v>Bưu điện xã Phú Hồ</x:v>
      </x:c>
    </x:row>
    <x:row r="132">
      <x:c r="A132" s="158" t="n">
        <x:v>128</x:v>
      </x:c>
      <x:c r="B132" s="159" t="str">
        <x:v>536850</x:v>
      </x:c>
      <x:c r="C132" s="159" t="str">
        <x:v>Phú Lương</x:v>
      </x:c>
      <x:c r="D132" s="159" t="str">
        <x:v>VHX</x:v>
      </x:c>
      <x:c r="E132" s="159" t="str">
        <x:v>Tam giác</x:v>
      </x:c>
      <x:c r="F132" s="181" t="str">
        <x:v>Thôn Đông A</x:v>
      </x:c>
      <x:c r="G132" s="181" t="str">
        <x:v>Xã Phú Hồ</x:v>
      </x:c>
      <x:c r="H132" s="159" t="str">
        <x:v>Hoạt động</x:v>
      </x:c>
      <x:c r="I132" s="187" t="n">
        <x:v>107.6802439</x:v>
      </x:c>
      <x:c r="J132" s="187" t="n">
        <x:v>16.45466437</x:v>
      </x:c>
      <x:c r="K132" s="160" t="str">
        <x:v>Bưu điện xã Phú Hồ</x:v>
      </x:c>
    </x:row>
    <x:row r="133">
      <x:c r="A133" s="158" t="n">
        <x:v>129</x:v>
      </x:c>
      <x:c r="B133" s="159" t="str">
        <x:v>536920</x:v>
      </x:c>
      <x:c r="C133" s="159" t="str">
        <x:v>Vinh Hà</x:v>
      </x:c>
      <x:c r="D133" s="159" t="str">
        <x:v>VHX</x:v>
      </x:c>
      <x:c r="E133" s="159" t="str">
        <x:v>Tam giác</x:v>
      </x:c>
      <x:c r="F133" s="181" t="str">
        <x:v>Thôn 5</x:v>
      </x:c>
      <x:c r="G133" s="181" t="str">
        <x:v>Xã Phú Vang</x:v>
      </x:c>
      <x:c r="H133" s="159" t="str">
        <x:v>Hoạt động</x:v>
      </x:c>
      <x:c r="I133" s="187" t="n">
        <x:v>107.8122242</x:v>
      </x:c>
      <x:c r="J133" s="187" t="n">
        <x:v>16.3722527</x:v>
      </x:c>
      <x:c r="K133" s="160" t="str">
        <x:v>Bưu điện xã Phú Vang</x:v>
      </x:c>
    </x:row>
    <x:row r="134">
      <x:c r="A134" s="158" t="n">
        <x:v>130</x:v>
      </x:c>
      <x:c r="B134" s="159" t="str">
        <x:v>536940</x:v>
      </x:c>
      <x:c r="C134" s="159" t="str">
        <x:v>Phú Xuân</x:v>
      </x:c>
      <x:c r="D134" s="159" t="str">
        <x:v>VHX</x:v>
      </x:c>
      <x:c r="E134" s="159" t="str">
        <x:v>Tam giác</x:v>
      </x:c>
      <x:c r="F134" s="181" t="str">
        <x:v>Thôn Quảng Xuyên</x:v>
      </x:c>
      <x:c r="G134" s="181" t="str">
        <x:v>Xã Phú Hồ</x:v>
      </x:c>
      <x:c r="H134" s="159" t="str">
        <x:v>Hoạt động</x:v>
      </x:c>
      <x:c r="I134" s="187" t="n">
        <x:v>107.7015146</x:v>
      </x:c>
      <x:c r="J134" s="187" t="n">
        <x:v>16.48935261</x:v>
      </x:c>
      <x:c r="K134" s="160" t="str">
        <x:v>Bưu điện xã Phú Hồ</x:v>
      </x:c>
    </x:row>
    <x:row r="135">
      <x:c r="A135" s="158" t="n">
        <x:v>131</x:v>
      </x:c>
      <x:c r="B135" s="159" t="str">
        <x:v>536980</x:v>
      </x:c>
      <x:c r="C135" s="159" t="str">
        <x:v>Vinh Xuân</x:v>
      </x:c>
      <x:c r="D135" s="159" t="str">
        <x:v>VHX</x:v>
      </x:c>
      <x:c r="E135" s="159" t="str">
        <x:v>Tam giác</x:v>
      </x:c>
      <x:c r="F135" s="181" t="str">
        <x:v>Thôn Tân Sa</x:v>
      </x:c>
      <x:c r="G135" s="181" t="str">
        <x:v>Xã Phú Vinh</x:v>
      </x:c>
      <x:c r="H135" s="159" t="str">
        <x:v>Hoạt động</x:v>
      </x:c>
      <x:c r="I135" s="187" t="n">
        <x:v>107.755025692453</x:v>
      </x:c>
      <x:c r="J135" s="187" t="n">
        <x:v>16.4708932013894</x:v>
      </x:c>
      <x:c r="K135" s="160" t="str">
        <x:v>Bưu điện xã Phú Vinh</x:v>
      </x:c>
    </x:row>
    <x:row r="136">
      <x:c r="A136" s="158" t="n">
        <x:v>132</x:v>
      </x:c>
      <x:c r="B136" s="159" t="str">
        <x:v>536990</x:v>
      </x:c>
      <x:c r="C136" s="159" t="str">
        <x:v>Vinh Thanh</x:v>
      </x:c>
      <x:c r="D136" s="159" t="str">
        <x:v>VHX</x:v>
      </x:c>
      <x:c r="E136" s="159" t="str">
        <x:v>Tam giác</x:v>
      </x:c>
      <x:c r="F136" s="181" t="str">
        <x:v>Thôn 3</x:v>
      </x:c>
      <x:c r="G136" s="181" t="str">
        <x:v>Xã Phú Vinh</x:v>
      </x:c>
      <x:c r="H136" s="159" t="str">
        <x:v>Hoạt động</x:v>
      </x:c>
      <x:c r="I136" s="187" t="n">
        <x:v>107.784874</x:v>
      </x:c>
      <x:c r="J136" s="187" t="n">
        <x:v>16.4335387</x:v>
      </x:c>
      <x:c r="K136" s="160" t="str">
        <x:v>Bưu điện xã Phú Vinh</x:v>
      </x:c>
    </x:row>
    <x:row r="137">
      <x:c r="A137" s="158" t="n">
        <x:v>133</x:v>
      </x:c>
      <x:c r="B137" s="159" t="str">
        <x:v>537120</x:v>
      </x:c>
      <x:c r="C137" s="159" t="str">
        <x:v>Lộc Bình</x:v>
      </x:c>
      <x:c r="D137" s="159" t="str">
        <x:v>VHX</x:v>
      </x:c>
      <x:c r="E137" s="159" t="str">
        <x:v>Tam giác</x:v>
      </x:c>
      <x:c r="F137" s="181" t="str">
        <x:v>Thôn Hòa An</x:v>
      </x:c>
      <x:c r="G137" s="181" t="str">
        <x:v>Xã Phú Lộc</x:v>
      </x:c>
      <x:c r="H137" s="159" t="str">
        <x:v>Hoạt động</x:v>
      </x:c>
      <x:c r="I137" s="187" t="n">
        <x:v>107.9263386</x:v>
      </x:c>
      <x:c r="J137" s="187" t="n">
        <x:v>16.32274271</x:v>
      </x:c>
      <x:c r="K137" s="160" t="str">
        <x:v>Bưu điện xã Phú Lộc</x:v>
      </x:c>
    </x:row>
    <x:row r="138">
      <x:c r="A138" s="158" t="n">
        <x:v>134</x:v>
      </x:c>
      <x:c r="B138" s="159" t="str">
        <x:v>537160</x:v>
      </x:c>
      <x:c r="C138" s="159" t="str">
        <x:v>Vinh Hải</x:v>
      </x:c>
      <x:c r="D138" s="159" t="str">
        <x:v>VHX</x:v>
      </x:c>
      <x:c r="E138" s="159" t="str">
        <x:v>Tam giác</x:v>
      </x:c>
      <x:c r="F138" s="181" t="str">
        <x:v>Thôn Đơn Chế</x:v>
      </x:c>
      <x:c r="G138" s="181" t="str">
        <x:v>Xã Vinh Lộc</x:v>
      </x:c>
      <x:c r="H138" s="159" t="str">
        <x:v>Hoạt động</x:v>
      </x:c>
      <x:c r="I138" s="187" t="n">
        <x:v>107.8803747</x:v>
      </x:c>
      <x:c r="J138" s="187" t="n">
        <x:v>16.37878783</x:v>
      </x:c>
      <x:c r="K138" s="160" t="str">
        <x:v>Bưu điện xã Vinh Lộc</x:v>
      </x:c>
    </x:row>
    <x:row r="139">
      <x:c r="A139" s="158" t="n">
        <x:v>135</x:v>
      </x:c>
      <x:c r="B139" s="159" t="str">
        <x:v>537181</x:v>
      </x:c>
      <x:c r="C139" s="159" t="str">
        <x:v>Vinh Hưng</x:v>
      </x:c>
      <x:c r="D139" s="159" t="str">
        <x:v>VHX</x:v>
      </x:c>
      <x:c r="E139" s="159" t="str">
        <x:v>Tam giác</x:v>
      </x:c>
      <x:c r="F139" s="181" t="str">
        <x:v>Thôn Diêm Trường</x:v>
      </x:c>
      <x:c r="G139" s="181" t="str">
        <x:v>Xã Vinh Lộc</x:v>
      </x:c>
      <x:c r="H139" s="159" t="str">
        <x:v>Hoạt động</x:v>
      </x:c>
      <x:c r="I139" s="187" t="n">
        <x:v>107.8273799</x:v>
      </x:c>
      <x:c r="J139" s="187" t="n">
        <x:v>16.39411377</x:v>
      </x:c>
      <x:c r="K139" s="160" t="str">
        <x:v>Bưu điện xã Vinh Lộc</x:v>
      </x:c>
    </x:row>
    <x:row r="140">
      <x:c r="A140" s="158" t="n">
        <x:v>136</x:v>
      </x:c>
      <x:c r="B140" s="159" t="str">
        <x:v>537190</x:v>
      </x:c>
      <x:c r="C140" s="159" t="str">
        <x:v>Vinh Mỹ</x:v>
      </x:c>
      <x:c r="D140" s="159" t="str">
        <x:v>VHX</x:v>
      </x:c>
      <x:c r="E140" s="159" t="str">
        <x:v>Tam giác</x:v>
      </x:c>
      <x:c r="F140" s="181" t="str">
        <x:v>Thôn 5</x:v>
      </x:c>
      <x:c r="G140" s="181" t="str">
        <x:v>Xã Vinh Lộc</x:v>
      </x:c>
      <x:c r="H140" s="159" t="str">
        <x:v>Hoạt động</x:v>
      </x:c>
      <x:c r="I140" s="187" t="n">
        <x:v>107.8521338</x:v>
      </x:c>
      <x:c r="J140" s="187" t="n">
        <x:v>16.3781616</x:v>
      </x:c>
      <x:c r="K140" s="160" t="str">
        <x:v>Bưu điện xã Vinh Lộc</x:v>
      </x:c>
    </x:row>
    <x:row r="141">
      <x:c r="A141" s="158" t="n">
        <x:v>137</x:v>
      </x:c>
      <x:c r="B141" s="159" t="str">
        <x:v>537201</x:v>
      </x:c>
      <x:c r="C141" s="159" t="str">
        <x:v>Lộc An</x:v>
      </x:c>
      <x:c r="D141" s="159" t="str">
        <x:v>VHX</x:v>
      </x:c>
      <x:c r="E141" s="159" t="str">
        <x:v>Tam giác</x:v>
      </x:c>
      <x:c r="F141" s="181" t="str">
        <x:v>Thôn Bắc Trung</x:v>
      </x:c>
      <x:c r="G141" s="181" t="str">
        <x:v>Xã Lộc An</x:v>
      </x:c>
      <x:c r="H141" s="159" t="str">
        <x:v>Hoạt động</x:v>
      </x:c>
      <x:c r="I141" s="187" t="n">
        <x:v>107.7701211</x:v>
      </x:c>
      <x:c r="J141" s="187" t="n">
        <x:v>16.32429538</x:v>
      </x:c>
      <x:c r="K141" s="160" t="str">
        <x:v>Bưu điện xã Lộc An</x:v>
      </x:c>
    </x:row>
    <x:row r="142">
      <x:c r="A142" s="158" t="n">
        <x:v>138</x:v>
      </x:c>
      <x:c r="B142" s="159" t="str">
        <x:v>537231</x:v>
      </x:c>
      <x:c r="C142" s="159" t="str">
        <x:v>Lộc Sơn</x:v>
      </x:c>
      <x:c r="D142" s="159" t="str">
        <x:v>VHX</x:v>
      </x:c>
      <x:c r="E142" s="159" t="str">
        <x:v>Tam giác</x:v>
      </x:c>
      <x:c r="F142" s="181" t="str">
        <x:v>Thôn La Sơn</x:v>
      </x:c>
      <x:c r="G142" s="181" t="str">
        <x:v>Xã Hưng Lộc</x:v>
      </x:c>
      <x:c r="H142" s="159" t="str">
        <x:v>Hoạt động</x:v>
      </x:c>
      <x:c r="I142" s="187" t="n">
        <x:v>107.7392913</x:v>
      </x:c>
      <x:c r="J142" s="187" t="n">
        <x:v>16.3469727</x:v>
      </x:c>
      <x:c r="K142" s="160" t="str">
        <x:v>Bưu điện xã Hưng Lộc</x:v>
      </x:c>
    </x:row>
    <x:row r="143">
      <x:c r="A143" s="158" t="n">
        <x:v>139</x:v>
      </x:c>
      <x:c r="B143" s="159" t="str">
        <x:v>537240</x:v>
      </x:c>
      <x:c r="C143" s="159" t="str">
        <x:v>Lộc Bổn</x:v>
      </x:c>
      <x:c r="D143" s="159" t="str">
        <x:v>VHX</x:v>
      </x:c>
      <x:c r="E143" s="159" t="str">
        <x:v>Tam giác</x:v>
      </x:c>
      <x:c r="F143" s="181" t="str">
        <x:v>Thôn Hòa Mỹ</x:v>
      </x:c>
      <x:c r="G143" s="181" t="str">
        <x:v>Xã Hưng Lộc</x:v>
      </x:c>
      <x:c r="H143" s="159" t="str">
        <x:v>Hoạt động</x:v>
      </x:c>
      <x:c r="I143" s="187" t="n">
        <x:v>107.7356297</x:v>
      </x:c>
      <x:c r="J143" s="187" t="n">
        <x:v>16.35843112</x:v>
      </x:c>
      <x:c r="K143" s="160" t="str">
        <x:v>Bưu điện xã Hưng Lộc</x:v>
      </x:c>
    </x:row>
    <x:row r="144">
      <x:c r="A144" s="158" t="n">
        <x:v>140</x:v>
      </x:c>
      <x:c r="B144" s="159" t="str">
        <x:v>537250</x:v>
      </x:c>
      <x:c r="C144" s="159" t="str">
        <x:v>Lộc Điền</x:v>
      </x:c>
      <x:c r="D144" s="159" t="str">
        <x:v>VHX</x:v>
      </x:c>
      <x:c r="E144" s="159" t="str">
        <x:v>Tam giác</x:v>
      </x:c>
      <x:c r="F144" s="181" t="str">
        <x:v>Thôn Sư Lỗ</x:v>
      </x:c>
      <x:c r="G144" s="181" t="str">
        <x:v>Xã Lộc An</x:v>
      </x:c>
      <x:c r="H144" s="159" t="str">
        <x:v>Hoạt động</x:v>
      </x:c>
      <x:c r="I144" s="187" t="n">
        <x:v>107.7799425</x:v>
      </x:c>
      <x:c r="J144" s="187" t="n">
        <x:v>16.31588306</x:v>
      </x:c>
      <x:c r="K144" s="160" t="str">
        <x:v>Bưu điện xã Lộc An</x:v>
      </x:c>
    </x:row>
    <x:row r="145">
      <x:c r="A145" s="158" t="n">
        <x:v>141</x:v>
      </x:c>
      <x:c r="B145" s="159" t="str">
        <x:v>537270</x:v>
      </x:c>
      <x:c r="C145" s="159" t="str">
        <x:v>Lộc Hòa</x:v>
      </x:c>
      <x:c r="D145" s="159" t="str">
        <x:v>VHX</x:v>
      </x:c>
      <x:c r="E145" s="159" t="str">
        <x:v>Tam giác</x:v>
      </x:c>
      <x:c r="F145" s="181" t="str">
        <x:v>Thôn 5</x:v>
      </x:c>
      <x:c r="G145" s="181" t="str">
        <x:v>Xã Lộc An</x:v>
      </x:c>
      <x:c r="H145" s="159" t="str">
        <x:v>Hoạt động</x:v>
      </x:c>
      <x:c r="I145" s="187" t="n">
        <x:v>107.7810448</x:v>
      </x:c>
      <x:c r="J145" s="187" t="n">
        <x:v>16.27289068</x:v>
      </x:c>
      <x:c r="K145" s="160" t="str">
        <x:v>Bưu điện xã Lộc An</x:v>
      </x:c>
    </x:row>
    <x:row r="146">
      <x:c r="A146" s="158" t="n">
        <x:v>142</x:v>
      </x:c>
      <x:c r="B146" s="159" t="str">
        <x:v>537290</x:v>
      </x:c>
      <x:c r="C146" s="159" t="str">
        <x:v>Xuân Lộc</x:v>
      </x:c>
      <x:c r="D146" s="159" t="str">
        <x:v>VHX</x:v>
      </x:c>
      <x:c r="E146" s="159" t="str">
        <x:v>Tam giác</x:v>
      </x:c>
      <x:c r="F146" s="181" t="str">
        <x:v>Thôn 3</x:v>
      </x:c>
      <x:c r="G146" s="181" t="str">
        <x:v>Xã Hưng Lộc</x:v>
      </x:c>
      <x:c r="H146" s="159" t="str">
        <x:v>Hoạt động</x:v>
      </x:c>
      <x:c r="I146" s="187" t="n">
        <x:v>107.7029243</x:v>
      </x:c>
      <x:c r="J146" s="187" t="n">
        <x:v>16.26247539</x:v>
      </x:c>
      <x:c r="K146" s="160" t="str">
        <x:v>Bưu điện xã Hưng Lộc</x:v>
      </x:c>
    </x:row>
    <x:row r="147">
      <x:c r="A147" s="158" t="n">
        <x:v>143</x:v>
      </x:c>
      <x:c r="B147" s="159" t="str">
        <x:v>537310</x:v>
      </x:c>
      <x:c r="C147" s="159" t="str">
        <x:v>Lộc Trì</x:v>
      </x:c>
      <x:c r="D147" s="159" t="str">
        <x:v>VHX</x:v>
      </x:c>
      <x:c r="E147" s="159" t="str">
        <x:v>Tam giác</x:v>
      </x:c>
      <x:c r="F147" s="181" t="str">
        <x:v>Thôn Cao Đôi Xã</x:v>
      </x:c>
      <x:c r="G147" s="181" t="str">
        <x:v>Xã Phú Lộc</x:v>
      </x:c>
      <x:c r="H147" s="159" t="str">
        <x:v>Hoạt động</x:v>
      </x:c>
      <x:c r="I147" s="187" t="n">
        <x:v>107.8836566</x:v>
      </x:c>
      <x:c r="J147" s="187" t="n">
        <x:v>16.27022371</x:v>
      </x:c>
      <x:c r="K147" s="160" t="str">
        <x:v>Bưu điện xã Phú Lộc</x:v>
      </x:c>
    </x:row>
    <x:row r="148">
      <x:c r="A148" s="158" t="n">
        <x:v>144</x:v>
      </x:c>
      <x:c r="B148" s="159" t="str">
        <x:v>537330</x:v>
      </x:c>
      <x:c r="C148" s="159" t="str">
        <x:v>Lộc Thủy</x:v>
      </x:c>
      <x:c r="D148" s="159" t="str">
        <x:v>VHX</x:v>
      </x:c>
      <x:c r="E148" s="159" t="str">
        <x:v>Tam giác</x:v>
      </x:c>
      <x:c r="F148" s="181" t="str">
        <x:v>Thôn Phú Cường</x:v>
      </x:c>
      <x:c r="G148" s="181" t="str">
        <x:v>Xã Chân Mây – Lăng Cô</x:v>
      </x:c>
      <x:c r="H148" s="159" t="str">
        <x:v>Hoạt động</x:v>
      </x:c>
      <x:c r="I148" s="187" t="n">
        <x:v>107.9370636</x:v>
      </x:c>
      <x:c r="J148" s="187" t="n">
        <x:v>16.2725688</x:v>
      </x:c>
      <x:c r="K148" s="160" t="str">
        <x:v>Bưu điện xã Chân Mây - Lăng Cô</x:v>
      </x:c>
    </x:row>
    <x:row r="149">
      <x:c r="A149" s="158" t="n">
        <x:v>145</x:v>
      </x:c>
      <x:c r="B149" s="159" t="str">
        <x:v>531106</x:v>
      </x:c>
      <x:c r="C149" s="159" t="str">
        <x:v>VP BĐTP Huế</x:v>
      </x:c>
      <x:c r="D149" s="159" t="str">
        <x:v>Văn phòng</x:v>
      </x:c>
      <x:c r="E149" s="159" t="str">
        <x:v>Ngôi nhà</x:v>
      </x:c>
      <x:c r="F149" s="181" t="str">
        <x:v>08 Đường Hoàng Hoa Thám</x:v>
      </x:c>
      <x:c r="G149" s="181" t="str">
        <x:v>Phường Thuận Hóa</x:v>
      </x:c>
      <x:c r="H149" s="159" t="str">
        <x:v>Hoạt động</x:v>
      </x:c>
      <x:c r="I149" s="187" t="n">
        <x:v>107.590361744488</x:v>
      </x:c>
      <x:c r="J149" s="187" t="n">
        <x:v>16.4648889303289</x:v>
      </x:c>
      <x:c r="K149" s="160" t="str">
        <x:v>Bưu điện phường Thuận Hóa</x:v>
      </x:c>
    </x:row>
    <x:row r="150">
      <x:c r="A150" s="158" t="n">
        <x:v>146</x:v>
      </x:c>
      <x:c r="B150" s="159" t="str">
        <x:v>531130</x:v>
      </x:c>
      <x:c r="C150" s="159" t="str">
        <x:v>Văn phòng BĐTP Huế</x:v>
      </x:c>
      <x:c r="D150" s="159" t="str">
        <x:v>Văn phòng</x:v>
      </x:c>
      <x:c r="E150" s="159" t="str">
        <x:v>Ngôi nhà</x:v>
      </x:c>
      <x:c r="F150" s="181" t="str">
        <x:v>08 Đường Hoàng Hoa Thám</x:v>
      </x:c>
      <x:c r="G150" s="181" t="str">
        <x:v>Phường Thuận Hóa</x:v>
      </x:c>
      <x:c r="H150" s="159" t="str">
        <x:v>Hoạt động</x:v>
      </x:c>
      <x:c r="I150" s="187" t="n">
        <x:v>107.590361744488</x:v>
      </x:c>
      <x:c r="J150" s="187" t="n">
        <x:v>16.4648889303289</x:v>
      </x:c>
      <x:c r="K150" s="160" t="str">
        <x:v>Văn phòng BĐTP Huế</x:v>
      </x:c>
    </x:row>
    <x:row r="151">
      <x:c r="A151" s="158" t="n">
        <x:v>147</x:v>
      </x:c>
      <x:c r="B151" s="159" t="str">
        <x:v>534907</x:v>
      </x:c>
      <x:c r="C151" s="159" t="str">
        <x:v>VP BĐH Phong Điền</x:v>
      </x:c>
      <x:c r="D151" s="159" t="str">
        <x:v>Văn phòng</x:v>
      </x:c>
      <x:c r="E151" s="159" t="str">
        <x:v>Ngôi nhà</x:v>
      </x:c>
      <x:c r="F151" s="181" t="str">
        <x:v>Thôn Trạch Thượng 1</x:v>
      </x:c>
      <x:c r="G151" s="181" t="str">
        <x:v>Phường Phong Điền</x:v>
      </x:c>
      <x:c r="H151" s="159" t="str">
        <x:v>Hoạt động</x:v>
      </x:c>
      <x:c r="I151" s="187" t="n">
        <x:v>107.364443316674</x:v>
      </x:c>
      <x:c r="J151" s="187" t="n">
        <x:v>16.5821419703036</x:v>
      </x:c>
      <x:c r="K151" s="160" t="str">
        <x:v>Bưu điện phường Phong Điền</x:v>
      </x:c>
    </x:row>
    <x:row r="152">
      <x:c r="A152" s="158" t="n">
        <x:v>148</x:v>
      </x:c>
      <x:c r="B152" s="159" t="str">
        <x:v>537501</x:v>
      </x:c>
      <x:c r="C152" s="159" t="str">
        <x:v>53750</x:v>
      </x:c>
      <x:c r="D152" s="159" t="str">
        <x:v>Văn phòng</x:v>
      </x:c>
      <x:c r="E152" s="159" t="str">
        <x:v>Ngôi nhà</x:v>
      </x:c>
      <x:c r="F152" s="181" t="str"/>
      <x:c r="G152" s="181" t="str">
        <x:v>Thôn Hòa Mỹ</x:v>
      </x:c>
      <x:c r="H152" s="159" t="str">
        <x:v>Chưa ghi</x:v>
      </x:c>
      <x:c r="I152" s="187" t="n">
        <x:v>107.746396</x:v>
      </x:c>
      <x:c r="J152" s="187" t="n">
        <x:v>16.33512767</x:v>
      </x:c>
      <x:c r="K152" s="160" t="str">
        <x:v>Kho BĐX Hưng Lộc</x:v>
      </x:c>
    </x:row>
    <x:row r="153">
      <x:c r="A153" s="158" t="n">
        <x:v>149</x:v>
      </x:c>
      <x:c r="B153" s="159" t="str">
        <x:v>537580</x:v>
      </x:c>
      <x:c r="C153" s="159" t="str">
        <x:v>53758</x:v>
      </x:c>
      <x:c r="D153" s="159" t="str">
        <x:v>Văn phòng</x:v>
      </x:c>
      <x:c r="E153" s="159" t="str">
        <x:v>Ngôi nhà</x:v>
      </x:c>
      <x:c r="F153" s="181" t="str"/>
      <x:c r="G153" s="181" t="str">
        <x:v>Thôn Tân Sa</x:v>
      </x:c>
      <x:c r="H153" s="159" t="str">
        <x:v>Chưa ghi</x:v>
      </x:c>
      <x:c r="I153" s="187" t="n">
        <x:v>107.784874</x:v>
      </x:c>
      <x:c r="J153" s="187" t="n">
        <x:v>16.4335387</x:v>
      </x:c>
      <x:c r="K153" s="160" t="str">
        <x:v>Kho BĐX Phú Vinh</x:v>
      </x:c>
    </x:row>
    <x:row r="154">
      <x:c r="A154" s="158" t="n">
        <x:v>150</x:v>
      </x:c>
      <x:c r="B154" s="159" t="str">
        <x:v>537620</x:v>
      </x:c>
      <x:c r="C154" s="159" t="str">
        <x:v>53762</x:v>
      </x:c>
      <x:c r="D154" s="159" t="str">
        <x:v>Văn phòng</x:v>
      </x:c>
      <x:c r="E154" s="159" t="str">
        <x:v>Ngôi nhà</x:v>
      </x:c>
      <x:c r="F154" s="181" t="str"/>
      <x:c r="G154" s="181" t="str">
        <x:v>Thôn Đơn Chế</x:v>
      </x:c>
      <x:c r="H154" s="159" t="str">
        <x:v>Chưa ghi</x:v>
      </x:c>
      <x:c r="I154" s="187" t="n">
        <x:v>107.8908936</x:v>
      </x:c>
      <x:c r="J154" s="187" t="n">
        <x:v>16.3478062</x:v>
      </x:c>
      <x:c r="K154" s="160" t="str">
        <x:v>Kho BĐX Vinh Lộc</x:v>
      </x:c>
    </x:row>
    <x:row r="155">
      <x:c r="A155" s="161" t="n">
        <x:v>151</x:v>
      </x:c>
      <x:c r="B155" s="162" t="str">
        <x:v>537680</x:v>
      </x:c>
      <x:c r="C155" s="162" t="str">
        <x:v>53768</x:v>
      </x:c>
      <x:c r="D155" s="162" t="str">
        <x:v>Văn phòng</x:v>
      </x:c>
      <x:c r="E155" s="162" t="str">
        <x:v>Ngôi nhà</x:v>
      </x:c>
      <x:c r="F155" s="182" t="str"/>
      <x:c r="G155" s="182" t="str">
        <x:v>Thôn A Vinh</x:v>
      </x:c>
      <x:c r="H155" s="162" t="str">
        <x:v>Chưa ghi</x:v>
      </x:c>
      <x:c r="I155" s="188" t="n">
        <x:v>107.231889912162</x:v>
      </x:c>
      <x:c r="J155" s="188" t="n">
        <x:v>16.2736382189923</x:v>
      </x:c>
      <x:c r="K155" s="163" t="str">
        <x:v>Kho BĐX A Lưới 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c6cfbe2198d4d08"/>
  </x:tableParts>
</x:worksheet>
</file>